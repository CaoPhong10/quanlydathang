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d8ebb6fbfa5ee7/Documents/"/>
    </mc:Choice>
  </mc:AlternateContent>
  <xr:revisionPtr revIDLastSave="4165" documentId="13_ncr:1_{1D7FA1C8-4A9F-4F5B-A947-6B05350FF70F}" xr6:coauthVersionLast="47" xr6:coauthVersionMax="47" xr10:uidLastSave="{39266512-67C0-4BDA-B5C4-C79975A766A4}"/>
  <bookViews>
    <workbookView xWindow="-120" yWindow="-120" windowWidth="20730" windowHeight="11160" xr2:uid="{8DE20A8B-71B6-47FA-9EFC-20059878B0DD}"/>
  </bookViews>
  <sheets>
    <sheet name="2025" sheetId="10" r:id="rId1"/>
    <sheet name="2025 thuê" sheetId="11" r:id="rId2"/>
  </sheets>
  <definedNames>
    <definedName name="_xlnm._FilterDatabase" localSheetId="0" hidden="1">'2025'!$A$1:$H$643</definedName>
    <definedName name="_xlnm._FilterDatabase" localSheetId="1" hidden="1">'2025 thuê'!$A$1:$I$31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4" i="10" l="1"/>
  <c r="K361" i="10"/>
  <c r="K362" i="10"/>
  <c r="K363" i="10"/>
  <c r="K364" i="10"/>
  <c r="K360" i="10"/>
  <c r="K359" i="10"/>
  <c r="K358" i="10"/>
  <c r="K357" i="10"/>
  <c r="K356" i="10"/>
  <c r="K354" i="10"/>
  <c r="K355" i="10"/>
  <c r="L353" i="10"/>
  <c r="K353" i="10"/>
  <c r="D316" i="10"/>
  <c r="D315" i="10"/>
</calcChain>
</file>

<file path=xl/sharedStrings.xml><?xml version="1.0" encoding="utf-8"?>
<sst xmlns="http://schemas.openxmlformats.org/spreadsheetml/2006/main" count="1986" uniqueCount="1240">
  <si>
    <t>STT</t>
  </si>
  <si>
    <t>Đơn hàng</t>
  </si>
  <si>
    <t>Số tiền thực</t>
  </si>
  <si>
    <t>Số tiền trả</t>
  </si>
  <si>
    <t>Địa chỉ</t>
  </si>
  <si>
    <t>Ngày đặt</t>
  </si>
  <si>
    <t>Mã vận đơn</t>
  </si>
  <si>
    <t>Đã nhận</t>
  </si>
  <si>
    <t>K7</t>
  </si>
  <si>
    <t>Hộp 12 bút zero</t>
  </si>
  <si>
    <t>Khóa</t>
  </si>
  <si>
    <t>79 NDC</t>
  </si>
  <si>
    <t>11 NDC</t>
  </si>
  <si>
    <t>77 NDC</t>
  </si>
  <si>
    <t>29 NDC</t>
  </si>
  <si>
    <t>33 NDC</t>
  </si>
  <si>
    <t>5 NDC</t>
  </si>
  <si>
    <t>30 ND</t>
  </si>
  <si>
    <t>44 ND</t>
  </si>
  <si>
    <t>87 NDC</t>
  </si>
  <si>
    <t>19 NDC</t>
  </si>
  <si>
    <t>23 NDC</t>
  </si>
  <si>
    <t>51 NDC</t>
  </si>
  <si>
    <t>75 NDC</t>
  </si>
  <si>
    <t>36 ND</t>
  </si>
  <si>
    <t>28 ND</t>
  </si>
  <si>
    <t>9 NDC</t>
  </si>
  <si>
    <t>38 ND</t>
  </si>
  <si>
    <t>Vở hồng hà x6</t>
  </si>
  <si>
    <t>46 ND</t>
  </si>
  <si>
    <t>15 NDC</t>
  </si>
  <si>
    <t>32 ND</t>
  </si>
  <si>
    <t>21 NDC</t>
  </si>
  <si>
    <t>27 NDC</t>
  </si>
  <si>
    <t>7 NDC</t>
  </si>
  <si>
    <t>67 NDC</t>
  </si>
  <si>
    <t>43 NDC</t>
  </si>
  <si>
    <t>65 NDC</t>
  </si>
  <si>
    <t>Redbull x6</t>
  </si>
  <si>
    <t>Lốc sữa kun x3</t>
  </si>
  <si>
    <t>39 NDC</t>
  </si>
  <si>
    <t>2 TP</t>
  </si>
  <si>
    <t>45 NDC</t>
  </si>
  <si>
    <t>64 TBH</t>
  </si>
  <si>
    <t>10 TP</t>
  </si>
  <si>
    <t>Vở hồng hà x5</t>
  </si>
  <si>
    <t>68 TP</t>
  </si>
  <si>
    <t>Lốc yakult x3</t>
  </si>
  <si>
    <t>11 TBH</t>
  </si>
  <si>
    <t>36 TBH</t>
  </si>
  <si>
    <t>66 TP</t>
  </si>
  <si>
    <t>48 TBH</t>
  </si>
  <si>
    <t>61 NDC</t>
  </si>
  <si>
    <t>Omachi x7</t>
  </si>
  <si>
    <t>55 NDC</t>
  </si>
  <si>
    <t>18 TP</t>
  </si>
  <si>
    <t>18 TBH</t>
  </si>
  <si>
    <t>22 TP</t>
  </si>
  <si>
    <t>Vở hồng hà</t>
  </si>
  <si>
    <t>Bánh caro x2</t>
  </si>
  <si>
    <t>44 TP</t>
  </si>
  <si>
    <t>56 TP</t>
  </si>
  <si>
    <t>40 TBH</t>
  </si>
  <si>
    <t>72 TP</t>
  </si>
  <si>
    <t>57 NDC</t>
  </si>
  <si>
    <t>Sữa ông thọ x2</t>
  </si>
  <si>
    <t>37 NDC</t>
  </si>
  <si>
    <t>53 NDC</t>
  </si>
  <si>
    <t>24 TP</t>
  </si>
  <si>
    <t>20 TBH</t>
  </si>
  <si>
    <t>47 NDC</t>
  </si>
  <si>
    <t>26 ND</t>
  </si>
  <si>
    <t>17 NDC</t>
  </si>
  <si>
    <t>20 TP</t>
  </si>
  <si>
    <t>38 TBH</t>
  </si>
  <si>
    <t>22 TBH</t>
  </si>
  <si>
    <t>49 NDC</t>
  </si>
  <si>
    <t>60 ND</t>
  </si>
  <si>
    <t>74 TP</t>
  </si>
  <si>
    <t>52 ND</t>
  </si>
  <si>
    <t>Lốc yakult x2</t>
  </si>
  <si>
    <t>68 ND</t>
  </si>
  <si>
    <t>70 TBH</t>
  </si>
  <si>
    <t>20 ND</t>
  </si>
  <si>
    <t>Nước lau sàn sunlight</t>
  </si>
  <si>
    <t>28 TP</t>
  </si>
  <si>
    <t>12 TP</t>
  </si>
  <si>
    <t>16 ND</t>
  </si>
  <si>
    <t>26 TP</t>
  </si>
  <si>
    <t>46 TP</t>
  </si>
  <si>
    <t>48 ND</t>
  </si>
  <si>
    <t>12 TBH</t>
  </si>
  <si>
    <t>Nước rửa chén</t>
  </si>
  <si>
    <t>14 ND</t>
  </si>
  <si>
    <t>Nhất ca x2</t>
  </si>
  <si>
    <t>4 ND</t>
  </si>
  <si>
    <t>36 TP</t>
  </si>
  <si>
    <t>40 ND</t>
  </si>
  <si>
    <t>16 TBH</t>
  </si>
  <si>
    <t>6 TBH</t>
  </si>
  <si>
    <t>70 TP</t>
  </si>
  <si>
    <t>66 ND</t>
  </si>
  <si>
    <t>1 NDC</t>
  </si>
  <si>
    <t>Nes xanh</t>
  </si>
  <si>
    <t>50 ND</t>
  </si>
  <si>
    <t>3 NDC</t>
  </si>
  <si>
    <t>62 TP</t>
  </si>
  <si>
    <t>Hạt nêm Knor 900g</t>
  </si>
  <si>
    <t>Omachi x10</t>
  </si>
  <si>
    <t>64 TP</t>
  </si>
  <si>
    <t>Giấy vệ sinh</t>
  </si>
  <si>
    <t>Nước giặt hàn quốc</t>
  </si>
  <si>
    <t>31 NDC</t>
  </si>
  <si>
    <t>16 TP</t>
  </si>
  <si>
    <t>Combo 10 bút gel thiên long</t>
  </si>
  <si>
    <t>60 TBH</t>
  </si>
  <si>
    <t>8 ND</t>
  </si>
  <si>
    <t>6 ND</t>
  </si>
  <si>
    <t>Nam ngư x2</t>
  </si>
  <si>
    <t>60 TP</t>
  </si>
  <si>
    <t>58 TP</t>
  </si>
  <si>
    <t>Bột ngọt ajinomoto</t>
  </si>
  <si>
    <t>70 ND</t>
  </si>
  <si>
    <t>38 TP</t>
  </si>
  <si>
    <t>66 TBH</t>
  </si>
  <si>
    <t>52 TBH</t>
  </si>
  <si>
    <t>8 TP</t>
  </si>
  <si>
    <t>13 NDC</t>
  </si>
  <si>
    <t>10 TBH</t>
  </si>
  <si>
    <t>32 TBH</t>
  </si>
  <si>
    <t>34 TBH</t>
  </si>
  <si>
    <t>22 ND</t>
  </si>
  <si>
    <t>Nước giặt xả hàn quốc</t>
  </si>
  <si>
    <t>Omachi x6</t>
  </si>
  <si>
    <t>Chinsu 1kg</t>
  </si>
  <si>
    <t>30 TBH</t>
  </si>
  <si>
    <t>Omachi x5</t>
  </si>
  <si>
    <t>50 TBH</t>
  </si>
  <si>
    <t>Bút zero</t>
  </si>
  <si>
    <t>58 ND</t>
  </si>
  <si>
    <t>Bút gel</t>
  </si>
  <si>
    <t>6 TP</t>
  </si>
  <si>
    <t>Bột ngọt ajinomoto 1kg</t>
  </si>
  <si>
    <t>62 TBH</t>
  </si>
  <si>
    <t>Hoàn</t>
  </si>
  <si>
    <t>2 TBH</t>
  </si>
  <si>
    <t>10 ND</t>
  </si>
  <si>
    <t>2 ND</t>
  </si>
  <si>
    <t>12 ND</t>
  </si>
  <si>
    <t>59 NDC</t>
  </si>
  <si>
    <t>Viên uống kẽm</t>
  </si>
  <si>
    <t>Nước giặt xả hàn quốc x2</t>
  </si>
  <si>
    <t>44 TBH</t>
  </si>
  <si>
    <t>26 TBH</t>
  </si>
  <si>
    <t>Vở hồng hà x10</t>
  </si>
  <si>
    <t>Sữa ông thọ x6</t>
  </si>
  <si>
    <t>Dầu ăn neptune 1l x2</t>
  </si>
  <si>
    <t>80 TP</t>
  </si>
  <si>
    <t>42 TBH</t>
  </si>
  <si>
    <t>28 TBH</t>
  </si>
  <si>
    <t>74 ND</t>
  </si>
  <si>
    <t>88 TBH</t>
  </si>
  <si>
    <t>8 TBH</t>
  </si>
  <si>
    <t>64 ND</t>
  </si>
  <si>
    <t>30 TP</t>
  </si>
  <si>
    <t>Dầu ăn neptune 1l</t>
  </si>
  <si>
    <t>54 TP</t>
  </si>
  <si>
    <t>14 TBH</t>
  </si>
  <si>
    <t>Bộ thước kẻ</t>
  </si>
  <si>
    <t>50 TP</t>
  </si>
  <si>
    <t>62 ND</t>
  </si>
  <si>
    <t>4 TP</t>
  </si>
  <si>
    <t>48 TP</t>
  </si>
  <si>
    <t>Bút lông bảng</t>
  </si>
  <si>
    <t>54 ND</t>
  </si>
  <si>
    <t>52 TP</t>
  </si>
  <si>
    <t>4 TBH</t>
  </si>
  <si>
    <t>Bánh caro x4</t>
  </si>
  <si>
    <t>Hộp 12 bút gel x2</t>
  </si>
  <si>
    <t>Bột ngọt Ajinomoto</t>
  </si>
  <si>
    <t>Bánh caro</t>
  </si>
  <si>
    <t>Bút gel xóa được</t>
  </si>
  <si>
    <t>58 TBH</t>
  </si>
  <si>
    <t>34 TP</t>
  </si>
  <si>
    <t>Dây dầu gội</t>
  </si>
  <si>
    <t>Bột ngọt Ajinomoto 2kg</t>
  </si>
  <si>
    <t>34 ND</t>
  </si>
  <si>
    <t>56 ND</t>
  </si>
  <si>
    <t>54 TBH</t>
  </si>
  <si>
    <t>42 TP</t>
  </si>
  <si>
    <t>Lốc yakult x5</t>
  </si>
  <si>
    <t>Lau sàn sunlight 3.6kg</t>
  </si>
  <si>
    <t>Nước mắm 3 miền x5</t>
  </si>
  <si>
    <t>Bút chì</t>
  </si>
  <si>
    <t>44 NDC</t>
  </si>
  <si>
    <t>24 ND</t>
  </si>
  <si>
    <t>Tam thái tử x3</t>
  </si>
  <si>
    <t>Closeup x2</t>
  </si>
  <si>
    <t>Văn phòng phẩm</t>
  </si>
  <si>
    <t>Sữa yakul</t>
  </si>
  <si>
    <t>Xúc xích</t>
  </si>
  <si>
    <t>64 NDC</t>
  </si>
  <si>
    <t>42 ND</t>
  </si>
  <si>
    <t>Mỳ ly modern</t>
  </si>
  <si>
    <t>99 NDC</t>
  </si>
  <si>
    <t>Vở vẽ A4</t>
  </si>
  <si>
    <t>40 NDC</t>
  </si>
  <si>
    <t>Gọt bút chì</t>
  </si>
  <si>
    <t>10 NDC</t>
  </si>
  <si>
    <t>14 TP</t>
  </si>
  <si>
    <t>Khăn giấy</t>
  </si>
  <si>
    <t>Sổ tay</t>
  </si>
  <si>
    <t>Gạo</t>
  </si>
  <si>
    <t>Nem chua</t>
  </si>
  <si>
    <t>Tré</t>
  </si>
  <si>
    <t>Lốc redbull</t>
  </si>
  <si>
    <t>Mũ len</t>
  </si>
  <si>
    <t>Lốc yakul x2</t>
  </si>
  <si>
    <t>Tam thái tử x2</t>
  </si>
  <si>
    <t>Chinsu 250g x4</t>
  </si>
  <si>
    <t>Bút lông nhỏ x10</t>
  </si>
  <si>
    <t>SPXVN050318144771</t>
  </si>
  <si>
    <t>SPXVN058179234081</t>
  </si>
  <si>
    <t>SPXVN055432923541</t>
  </si>
  <si>
    <t>G8YTA96V</t>
  </si>
  <si>
    <t>SPXVN058446088021</t>
  </si>
  <si>
    <t>Nước rủa tay lifeboy</t>
  </si>
  <si>
    <t>SPXVN058592681801</t>
  </si>
  <si>
    <t>SPXVN054858885911</t>
  </si>
  <si>
    <t>SPXVN053704968951</t>
  </si>
  <si>
    <t>Omachi</t>
  </si>
  <si>
    <t>SPXVN051714292641</t>
  </si>
  <si>
    <t>Sunlight</t>
  </si>
  <si>
    <t>SPXVN059898131841</t>
  </si>
  <si>
    <t>SPXVN055151868141</t>
  </si>
  <si>
    <t>Lịch</t>
  </si>
  <si>
    <t>SPXVN057028860151</t>
  </si>
  <si>
    <t>SPXVN04578621249C</t>
  </si>
  <si>
    <t>Khăn quàng cổ</t>
  </si>
  <si>
    <t>SPXVN04132509582C</t>
  </si>
  <si>
    <t>SPXVN055277865281</t>
  </si>
  <si>
    <t>SPXVN059652243251</t>
  </si>
  <si>
    <t>Bút chì khúc thiên long</t>
  </si>
  <si>
    <t>SPXVN053736676501</t>
  </si>
  <si>
    <t>SPXVN053140353841</t>
  </si>
  <si>
    <t>Dao rọc giấy deli</t>
  </si>
  <si>
    <t>SPXVN055173558271</t>
  </si>
  <si>
    <t>Yakul</t>
  </si>
  <si>
    <t>SPXVN053729263201</t>
  </si>
  <si>
    <t>SPXVN051182181721</t>
  </si>
  <si>
    <t>SPXVN059432744571</t>
  </si>
  <si>
    <t>SPXVN056405207071</t>
  </si>
  <si>
    <t>Bảnh tráng</t>
  </si>
  <si>
    <t>SPXVN056931879881</t>
  </si>
  <si>
    <t>Muối vừng</t>
  </si>
  <si>
    <t>SPXVN059099512911</t>
  </si>
  <si>
    <t>Bảnh caro</t>
  </si>
  <si>
    <t>SPXVN052030135481</t>
  </si>
  <si>
    <t>SPXVN054721995791</t>
  </si>
  <si>
    <t>SPXVN058003484311</t>
  </si>
  <si>
    <t>Củ kiệu</t>
  </si>
  <si>
    <t>SPXVN051029884511</t>
  </si>
  <si>
    <t>Bút máy</t>
  </si>
  <si>
    <t>SPXVN054094184701</t>
  </si>
  <si>
    <t>SPXVN053502072761</t>
  </si>
  <si>
    <t>Nước rửa tay lifeboy</t>
  </si>
  <si>
    <t>SPXVN050592601711</t>
  </si>
  <si>
    <t>Băng keo</t>
  </si>
  <si>
    <t>SPXVN055219107101</t>
  </si>
  <si>
    <t>SPXVN054626755161</t>
  </si>
  <si>
    <t>Khẩu trang</t>
  </si>
  <si>
    <t>SPXVN058203527131</t>
  </si>
  <si>
    <t>SPXN054933483211</t>
  </si>
  <si>
    <t>Xả vải</t>
  </si>
  <si>
    <t>SPXVN053955215691</t>
  </si>
  <si>
    <t>SPXVN050758252021</t>
  </si>
  <si>
    <t>SPXVN052648506921</t>
  </si>
  <si>
    <t>SPXVN056072052401</t>
  </si>
  <si>
    <t>SPXVN052861470301</t>
  </si>
  <si>
    <t>SPXVN057254925261</t>
  </si>
  <si>
    <t>Sổ lò xo</t>
  </si>
  <si>
    <t>SPXVN052287982751</t>
  </si>
  <si>
    <t>SPXVN051858260201</t>
  </si>
  <si>
    <t>Gọt bút chì điện</t>
  </si>
  <si>
    <t>SPXVN058000528531</t>
  </si>
  <si>
    <t>Sổ tay mini</t>
  </si>
  <si>
    <t>SPXVN051910561861</t>
  </si>
  <si>
    <t>SPXVN052900583241</t>
  </si>
  <si>
    <t>SPXVN050953280951</t>
  </si>
  <si>
    <t>Sách Cái vô hạn trong lòng bàn tay</t>
  </si>
  <si>
    <t>SPXVN050598067161</t>
  </si>
  <si>
    <t>SPXN058509014751</t>
  </si>
  <si>
    <t>Omachi x5 + xúc xích</t>
  </si>
  <si>
    <t>SPXVN054324240591</t>
  </si>
  <si>
    <t>SPXVN055624831911</t>
  </si>
  <si>
    <t>SPXVN050826616451</t>
  </si>
  <si>
    <t>Bình giữ nhiệt</t>
  </si>
  <si>
    <t>16 NDC</t>
  </si>
  <si>
    <t>SPXVN053485698611</t>
  </si>
  <si>
    <t>Mực bút máy</t>
  </si>
  <si>
    <t>SPXVN054705224771</t>
  </si>
  <si>
    <t>SPXVN051818106971</t>
  </si>
  <si>
    <t>Hạt nêm Maggi</t>
  </si>
  <si>
    <t>SPXVN051205625121</t>
  </si>
  <si>
    <t>Bút doraemon</t>
  </si>
  <si>
    <t>SPXVN058257061441</t>
  </si>
  <si>
    <t>SPXVN051698806271</t>
  </si>
  <si>
    <t>Cá sốt cà</t>
  </si>
  <si>
    <t>80 NDC</t>
  </si>
  <si>
    <t>SPXVN051872822541</t>
  </si>
  <si>
    <t>SPXVN051569800371</t>
  </si>
  <si>
    <t>Nộm măng tươi</t>
  </si>
  <si>
    <t>SPXVN057278660841</t>
  </si>
  <si>
    <t>Vở lò xo</t>
  </si>
  <si>
    <t>SPXVN058812611351</t>
  </si>
  <si>
    <t>G8RYDXPB</t>
  </si>
  <si>
    <t>Lốc yakul</t>
  </si>
  <si>
    <t>SPXVN059763990662</t>
  </si>
  <si>
    <t>SPXVN053554251572</t>
  </si>
  <si>
    <t>SPXVN054766898652</t>
  </si>
  <si>
    <t>SPXVN057672241242</t>
  </si>
  <si>
    <t>Gói thái dương</t>
  </si>
  <si>
    <t>SPXVN053858671082</t>
  </si>
  <si>
    <t>SPXVN055224969362</t>
  </si>
  <si>
    <t>Vở lò xo x5</t>
  </si>
  <si>
    <t>SPXVN059262501732</t>
  </si>
  <si>
    <t>Bút kim</t>
  </si>
  <si>
    <t>SPXVN054302752512</t>
  </si>
  <si>
    <t>SPXVN051872202421</t>
  </si>
  <si>
    <t>SPXVN058261519551</t>
  </si>
  <si>
    <t>SPXVN053765834602</t>
  </si>
  <si>
    <t>SPXVN050034253772</t>
  </si>
  <si>
    <t>SPXVN059360203132</t>
  </si>
  <si>
    <t>SPXVN052143267732</t>
  </si>
  <si>
    <t>SPXVN059262488562</t>
  </si>
  <si>
    <t>Dép sandan</t>
  </si>
  <si>
    <t>SPXVN050488934842</t>
  </si>
  <si>
    <t>SPXVN059230136492</t>
  </si>
  <si>
    <t>SPXVN057095813512</t>
  </si>
  <si>
    <t>SPXVN058536133062</t>
  </si>
  <si>
    <t>SPXVN057638882992</t>
  </si>
  <si>
    <t>Bút bi mực nước</t>
  </si>
  <si>
    <t>SPXVN052612755632</t>
  </si>
  <si>
    <t>SPXVN057238748132</t>
  </si>
  <si>
    <t>10 bút lông bảng đầu gôm</t>
  </si>
  <si>
    <t>SPXVN053120057962</t>
  </si>
  <si>
    <t>Can nước rửa chén lix x2</t>
  </si>
  <si>
    <t>G8M7M3NB</t>
  </si>
  <si>
    <t>92 TBH</t>
  </si>
  <si>
    <t>SPXVN056609038022</t>
  </si>
  <si>
    <t>SPXVN052620274842</t>
  </si>
  <si>
    <t>SPXVN059671557632</t>
  </si>
  <si>
    <t>G8MFYBB3</t>
  </si>
  <si>
    <t>SPXVN052384891762</t>
  </si>
  <si>
    <t>G8MLH6PT</t>
  </si>
  <si>
    <t>Bút bi gel choice</t>
  </si>
  <si>
    <t>SPXVN050848326622</t>
  </si>
  <si>
    <t>SPXVN052999801692</t>
  </si>
  <si>
    <t>G8MGDVEV</t>
  </si>
  <si>
    <t>G8MFA7T4</t>
  </si>
  <si>
    <t>Sổ tay lò xo A5 x3</t>
  </si>
  <si>
    <t>SPXVN059275587122</t>
  </si>
  <si>
    <t>G8MG9W9T+G8MG9W9H</t>
  </si>
  <si>
    <t>SPXVN059101441102</t>
  </si>
  <si>
    <t>G8MCL4QF</t>
  </si>
  <si>
    <t>Hủy</t>
  </si>
  <si>
    <t>Bút lông bảng x6</t>
  </si>
  <si>
    <t>SPXVN051411691972</t>
  </si>
  <si>
    <t>SPXVN058278000882</t>
  </si>
  <si>
    <t>G8MUF9YQ</t>
  </si>
  <si>
    <t>SPXVN057610444492</t>
  </si>
  <si>
    <t>SPXVN050361170782</t>
  </si>
  <si>
    <t>Viên Kẽm 15 ngày</t>
  </si>
  <si>
    <t>SPXVN057315922452</t>
  </si>
  <si>
    <t>Sân vận động</t>
  </si>
  <si>
    <t>SPXVN057814770722</t>
  </si>
  <si>
    <t>SPXVN052323891522</t>
  </si>
  <si>
    <t>G8MCV7WT</t>
  </si>
  <si>
    <t>SPXVN051786258082</t>
  </si>
  <si>
    <t>SPXVN056358771662</t>
  </si>
  <si>
    <t>Tập vẽ a4 x5</t>
  </si>
  <si>
    <t>SPXVN054280762492</t>
  </si>
  <si>
    <t>Hộp 12 cây bút chì Deli</t>
  </si>
  <si>
    <t>G8M9VT9N</t>
  </si>
  <si>
    <t>Bộ lắp ghép mô hình kỹ thuật</t>
  </si>
  <si>
    <t>SPXVN054325871982</t>
  </si>
  <si>
    <t>Tập vẽ a4 x4</t>
  </si>
  <si>
    <t>SPXVN050966727382</t>
  </si>
  <si>
    <t>SPXVN054691156152</t>
  </si>
  <si>
    <t>G8MN9QCU</t>
  </si>
  <si>
    <t>61 ND</t>
  </si>
  <si>
    <t>SPXVN050169298352</t>
  </si>
  <si>
    <t>Bút xóa nước x5</t>
  </si>
  <si>
    <t>SPXVN053413570172</t>
  </si>
  <si>
    <t>Giấy A4</t>
  </si>
  <si>
    <t>SPXVN055676918372</t>
  </si>
  <si>
    <t>33 TBH</t>
  </si>
  <si>
    <t>SPXVN055718317392</t>
  </si>
  <si>
    <t>SVD</t>
  </si>
  <si>
    <t>G8MPGTE4</t>
  </si>
  <si>
    <t>45 TP</t>
  </si>
  <si>
    <t>SPXVN054628814702</t>
  </si>
  <si>
    <t>SPXVN051143482092</t>
  </si>
  <si>
    <t>SPXVN050789991032</t>
  </si>
  <si>
    <t>SPXVN059941511542</t>
  </si>
  <si>
    <t>SPXVN053008500082</t>
  </si>
  <si>
    <t>SPXVN052108639272</t>
  </si>
  <si>
    <t>37 TP</t>
  </si>
  <si>
    <t>SPXVN057923969992</t>
  </si>
  <si>
    <t>Dao rọc giấy choice</t>
  </si>
  <si>
    <t>SPXVN058035658032</t>
  </si>
  <si>
    <t>SPXVN058275368292</t>
  </si>
  <si>
    <t>SPXVN057112880762</t>
  </si>
  <si>
    <t>Bộ lắp ghép mô hình kỹ thuật x2</t>
  </si>
  <si>
    <t>G8MHY877</t>
  </si>
  <si>
    <t>Lốc yakul x5</t>
  </si>
  <si>
    <t>SPXVN057576422782</t>
  </si>
  <si>
    <t>Bút chì kim Deli</t>
  </si>
  <si>
    <t>SPXVN059286380382</t>
  </si>
  <si>
    <t>SPXVN053146143512</t>
  </si>
  <si>
    <t>SPXVN056026048492</t>
  </si>
  <si>
    <t>Giấy vệ sinh treo tường</t>
  </si>
  <si>
    <t>SPXVN058333511822</t>
  </si>
  <si>
    <t>G8MTLLX6</t>
  </si>
  <si>
    <t>Combo 2 giấy vệ sinh x2</t>
  </si>
  <si>
    <t>SPXVN051438980652</t>
  </si>
  <si>
    <t>SPXVN058424357522</t>
  </si>
  <si>
    <t>Kem đánh răng x3</t>
  </si>
  <si>
    <t>SPXVN050613260672</t>
  </si>
  <si>
    <t>SPXVN053904133212</t>
  </si>
  <si>
    <t xml:space="preserve">Bút chì Deli </t>
  </si>
  <si>
    <t>SPXVN057494723542</t>
  </si>
  <si>
    <t>Sách vẽ tranh</t>
  </si>
  <si>
    <t>SPXVN052338788632</t>
  </si>
  <si>
    <t>Bút sáp 24 màu x3</t>
  </si>
  <si>
    <t>SPXVN054050441132</t>
  </si>
  <si>
    <t>Giấy ăn</t>
  </si>
  <si>
    <t>82 TBH</t>
  </si>
  <si>
    <t>G8M8WXH6</t>
  </si>
  <si>
    <t>SPXVN056320198062</t>
  </si>
  <si>
    <t>Hũ xúc xích x2</t>
  </si>
  <si>
    <t>SPXVN050494031392</t>
  </si>
  <si>
    <t>SPXVN056495650252</t>
  </si>
  <si>
    <t>Bộ thực hành công nghệ</t>
  </si>
  <si>
    <t>SPXVN050562312553</t>
  </si>
  <si>
    <t>Trả</t>
  </si>
  <si>
    <t>SPXVN056211289683</t>
  </si>
  <si>
    <t>SPXVN052397903233</t>
  </si>
  <si>
    <t>Nước rửa chén lix 3.6kg</t>
  </si>
  <si>
    <t>SPXVN055239019333</t>
  </si>
  <si>
    <t>Bút gel choice</t>
  </si>
  <si>
    <t>G8E7WV8A</t>
  </si>
  <si>
    <t>Pin sạc aa x4</t>
  </si>
  <si>
    <t>G8E7YUA4</t>
  </si>
  <si>
    <t>SPXVN055036878723</t>
  </si>
  <si>
    <t>Bút lông nhỏ x20</t>
  </si>
  <si>
    <t>G8E9XPEH</t>
  </si>
  <si>
    <t>Lốc yakult x4</t>
  </si>
  <si>
    <t>G8E9DH6G</t>
  </si>
  <si>
    <t>Nes đen đá</t>
  </si>
  <si>
    <t>SPXVN059613165303</t>
  </si>
  <si>
    <t>SPXVN05847447443</t>
  </si>
  <si>
    <t>SPXVN058508269293</t>
  </si>
  <si>
    <t>35 ND</t>
  </si>
  <si>
    <t>SPXVN0533841913</t>
  </si>
  <si>
    <t>SPXVN058183629213</t>
  </si>
  <si>
    <t>Dao rọc giấy x40</t>
  </si>
  <si>
    <t>SPXVN054730699353</t>
  </si>
  <si>
    <t>Bút lông dầu x30</t>
  </si>
  <si>
    <t>3 ND</t>
  </si>
  <si>
    <t>SPXVN053441323133</t>
  </si>
  <si>
    <t>Bút zero x13</t>
  </si>
  <si>
    <t>78 TP</t>
  </si>
  <si>
    <t>SPXVN056052838323</t>
  </si>
  <si>
    <t>Bút mini x99</t>
  </si>
  <si>
    <t>89 TBH</t>
  </si>
  <si>
    <t>SPXVN053238840233</t>
  </si>
  <si>
    <t>Redbull x7</t>
  </si>
  <si>
    <t>SPXVN055058535193</t>
  </si>
  <si>
    <t>Hộp 12 cây bút chì Deli x2</t>
  </si>
  <si>
    <t>SPXVN058515765273</t>
  </si>
  <si>
    <t>SPXVN059122408653</t>
  </si>
  <si>
    <t>Bộ sạc pin aa</t>
  </si>
  <si>
    <t>22 ĐTN</t>
  </si>
  <si>
    <t>G8ED896G</t>
  </si>
  <si>
    <t>Bút sáp màu Deli</t>
  </si>
  <si>
    <t>SPXVN050415798303</t>
  </si>
  <si>
    <t>Thái dương</t>
  </si>
  <si>
    <t>SPXVN054924698233</t>
  </si>
  <si>
    <t>Bút gel Deli</t>
  </si>
  <si>
    <t>7 ĐTN</t>
  </si>
  <si>
    <t>SPXVN057773483643</t>
  </si>
  <si>
    <t>Dao rọc giấy Deli x2</t>
  </si>
  <si>
    <t>SPXVN051586787123</t>
  </si>
  <si>
    <t>Nướ rử chén sunlight</t>
  </si>
  <si>
    <t>SPXVN059339185433</t>
  </si>
  <si>
    <t>SPXVN056168470573</t>
  </si>
  <si>
    <t>Hộp bút doraemon</t>
  </si>
  <si>
    <t>SPXVN055828034423</t>
  </si>
  <si>
    <t>SPXVN051054442513</t>
  </si>
  <si>
    <t>Bút lông bảng lớn x7</t>
  </si>
  <si>
    <t>SPXVN056311741853</t>
  </si>
  <si>
    <t>SPXVN051564884993</t>
  </si>
  <si>
    <t>Bút xóa nước deli</t>
  </si>
  <si>
    <t>SPXVN050619359033</t>
  </si>
  <si>
    <t>SPXVN050101053433</t>
  </si>
  <si>
    <t>Bút chì màu Deli x3</t>
  </si>
  <si>
    <t>SPXVN053997820193</t>
  </si>
  <si>
    <t>Bút gel thiên long</t>
  </si>
  <si>
    <t>SPXVN051450928193</t>
  </si>
  <si>
    <t>Dầu gội selsun</t>
  </si>
  <si>
    <t>G8EADBLC</t>
  </si>
  <si>
    <t>9 ND</t>
  </si>
  <si>
    <t>SPXVN052211897503</t>
  </si>
  <si>
    <t>Hộp 10 bút chì TL x3</t>
  </si>
  <si>
    <t>SPXVN056046579013</t>
  </si>
  <si>
    <t>SPXVN052570655983</t>
  </si>
  <si>
    <t>SPXVN054189784153</t>
  </si>
  <si>
    <t>SPXVN054925471963</t>
  </si>
  <si>
    <t>Bút sáp màu TL x5</t>
  </si>
  <si>
    <t>23 TP</t>
  </si>
  <si>
    <t>SPXVN055839662453</t>
  </si>
  <si>
    <t>SPXVN058934773313</t>
  </si>
  <si>
    <t>Bút chì màu Deli x4</t>
  </si>
  <si>
    <t>SPXVN058866692363</t>
  </si>
  <si>
    <t>Giá</t>
  </si>
  <si>
    <t>Phí</t>
  </si>
  <si>
    <t>SPXVN052021247883</t>
  </si>
  <si>
    <t>SPXVN057493877453</t>
  </si>
  <si>
    <t>SPXVN055713480443</t>
  </si>
  <si>
    <t>SPXVN058676550963</t>
  </si>
  <si>
    <t>SPXVN055703430913</t>
  </si>
  <si>
    <t>Closeup x3</t>
  </si>
  <si>
    <t>SPXVN050697642373</t>
  </si>
  <si>
    <t>SPXVN050617063973</t>
  </si>
  <si>
    <t>72 TBH</t>
  </si>
  <si>
    <t xml:space="preserve">SPXVN056367320843 </t>
  </si>
  <si>
    <t>SPXVN053330673823</t>
  </si>
  <si>
    <t>SPXVN054035161213</t>
  </si>
  <si>
    <t>Bút xóa kéo Deli x4</t>
  </si>
  <si>
    <t>SPXVN053449504113</t>
  </si>
  <si>
    <t>SPXVN057855318683</t>
  </si>
  <si>
    <t>SPXVN055408503323</t>
  </si>
  <si>
    <t>SPXVN053453675823</t>
  </si>
  <si>
    <t>Tẩy toilet x4</t>
  </si>
  <si>
    <t>SPXVN053741346593</t>
  </si>
  <si>
    <t>SPXVN059590050273</t>
  </si>
  <si>
    <t>Bút gel + thước</t>
  </si>
  <si>
    <t>SPXVN056709387773</t>
  </si>
  <si>
    <t>SPXVN052554556753</t>
  </si>
  <si>
    <t>SPXVN057884395663</t>
  </si>
  <si>
    <t>SPXVN059964399883</t>
  </si>
  <si>
    <t>SPXVN054182310993</t>
  </si>
  <si>
    <t>Bút gel deli</t>
  </si>
  <si>
    <t>SPXVN059695256344</t>
  </si>
  <si>
    <t>SPXVN050511792364</t>
  </si>
  <si>
    <t>SPXVN050886526584</t>
  </si>
  <si>
    <t>Dao rọc giấy mini</t>
  </si>
  <si>
    <t>SPXVN052048801664</t>
  </si>
  <si>
    <t>SPXVN051234940504</t>
  </si>
  <si>
    <t>SPXVN059243367344</t>
  </si>
  <si>
    <t>Nước giặt xả</t>
  </si>
  <si>
    <t>SPXVN054261223364</t>
  </si>
  <si>
    <t>SPXVN052837858164</t>
  </si>
  <si>
    <t>SPXVN058118261744</t>
  </si>
  <si>
    <t>86/ 86</t>
  </si>
  <si>
    <t>Closeup</t>
  </si>
  <si>
    <t>SPXVN053881262624</t>
  </si>
  <si>
    <t>SPXVN053740226784</t>
  </si>
  <si>
    <t>SPXVN053770950664</t>
  </si>
  <si>
    <t>Đèn led usb</t>
  </si>
  <si>
    <t>SPXVN059851486404</t>
  </si>
  <si>
    <t>SPXVN053853121044</t>
  </si>
  <si>
    <t>Lốc yalult x2</t>
  </si>
  <si>
    <t>SPXVN058700578974</t>
  </si>
  <si>
    <t>SPXVN054175034504</t>
  </si>
  <si>
    <t>Lốc yalult x3</t>
  </si>
  <si>
    <t>SPXVN057192921194</t>
  </si>
  <si>
    <t>Hộp 12 bút gel</t>
  </si>
  <si>
    <t>SPXVN058140527494</t>
  </si>
  <si>
    <t>SPXVN055674269274</t>
  </si>
  <si>
    <t>SPXVN059324237384</t>
  </si>
  <si>
    <t>SPXVN051465364694</t>
  </si>
  <si>
    <t>SPXVN051012666784</t>
  </si>
  <si>
    <t>SPEVN259686993207</t>
  </si>
  <si>
    <t>Sữa yomost x6</t>
  </si>
  <si>
    <t>SPXVN050553567404</t>
  </si>
  <si>
    <t>SPXVN050702731074</t>
  </si>
  <si>
    <t>GYQEHYPG</t>
  </si>
  <si>
    <t>Vỉ sữa chua uống kun</t>
  </si>
  <si>
    <t>SPXVN052784922844</t>
  </si>
  <si>
    <t>86 /11</t>
  </si>
  <si>
    <t>SPXVN054004691474</t>
  </si>
  <si>
    <t>10 gói nes đen</t>
  </si>
  <si>
    <t>SPXVN055776686014</t>
  </si>
  <si>
    <t>SPXVN050860020044</t>
  </si>
  <si>
    <t>Combo 10 bút zero</t>
  </si>
  <si>
    <t>SPXVN055441102844</t>
  </si>
  <si>
    <t>Bút gel deli x24</t>
  </si>
  <si>
    <t>SPXVN051405441804</t>
  </si>
  <si>
    <t>SPXVN059859343034</t>
  </si>
  <si>
    <t>Combo 10 bút lông bảng nhỏ</t>
  </si>
  <si>
    <t>SPXVN054617695134</t>
  </si>
  <si>
    <t>Combo 5 gôm TL x4</t>
  </si>
  <si>
    <t>SHOPEEVTP108005241</t>
  </si>
  <si>
    <t>86/ 44</t>
  </si>
  <si>
    <t>Mỳ ly modern x6</t>
  </si>
  <si>
    <t>SPXVN057902120254</t>
  </si>
  <si>
    <t>Ống chì màu x5</t>
  </si>
  <si>
    <t>SPXVN054250280864</t>
  </si>
  <si>
    <t>SPXVN054953613624</t>
  </si>
  <si>
    <t>GYL9BHUM</t>
  </si>
  <si>
    <t>SPXVN057511604614</t>
  </si>
  <si>
    <t>SPXVN053917221994</t>
  </si>
  <si>
    <t>78 ND</t>
  </si>
  <si>
    <t>GYLDVCLR</t>
  </si>
  <si>
    <t>Hộp 10 bút lông bảng</t>
  </si>
  <si>
    <t>SPXVN054314558874</t>
  </si>
  <si>
    <t>Hộp 20 bút gel TL</t>
  </si>
  <si>
    <t>SPXVN054572929404</t>
  </si>
  <si>
    <t>Bút zero x10</t>
  </si>
  <si>
    <t>SPXVN056743831814</t>
  </si>
  <si>
    <t>SPXVN057447196144</t>
  </si>
  <si>
    <t>Bút gel zero x8</t>
  </si>
  <si>
    <t>SPXVN051997280264</t>
  </si>
  <si>
    <t>Combo 10 bút gel TL</t>
  </si>
  <si>
    <t>SPXVN055307446454</t>
  </si>
  <si>
    <t>Combo 10 bút lông bảng nhỏ x2</t>
  </si>
  <si>
    <t>SPXVN050296727034</t>
  </si>
  <si>
    <t>Bút gel Deli x20</t>
  </si>
  <si>
    <t>SHOPEEVTP108111954</t>
  </si>
  <si>
    <t>SPEVN257240712639O</t>
  </si>
  <si>
    <t>SPXVN055826625345</t>
  </si>
  <si>
    <t>SPXVN055399858855</t>
  </si>
  <si>
    <t>SPXVN058185995265</t>
  </si>
  <si>
    <t>SPXVN057199539545</t>
  </si>
  <si>
    <t>SPXVN056596286945</t>
  </si>
  <si>
    <t>SPXVN059523691525</t>
  </si>
  <si>
    <t>SPXVN058925372945</t>
  </si>
  <si>
    <t>Combo 20 bút gel TL</t>
  </si>
  <si>
    <t>Hộp 12 bút zero x2</t>
  </si>
  <si>
    <t>SPXVN056779312795</t>
  </si>
  <si>
    <t>SPXVN051899944265</t>
  </si>
  <si>
    <t>86 /99</t>
  </si>
  <si>
    <t>Tăm bông kháng khuẩn</t>
  </si>
  <si>
    <t>SPXVN053928930665</t>
  </si>
  <si>
    <t>SPXVN050564601145</t>
  </si>
  <si>
    <t>Vở vẽ A4 x5</t>
  </si>
  <si>
    <t>SPXVN050125364775</t>
  </si>
  <si>
    <t>SPXVN053146739825</t>
  </si>
  <si>
    <t>SPXVN051308774295</t>
  </si>
  <si>
    <t>SPXVN058182775065</t>
  </si>
  <si>
    <t>SPXVN050019303335</t>
  </si>
  <si>
    <t>SPXVN052044143965</t>
  </si>
  <si>
    <t>SPXVN055336225945</t>
  </si>
  <si>
    <t>SPXVN051006488915</t>
  </si>
  <si>
    <t>SPXVN058894214265</t>
  </si>
  <si>
    <t>GYFLU3R8</t>
  </si>
  <si>
    <t>32 TP</t>
  </si>
  <si>
    <t>SPXVN057438143875</t>
  </si>
  <si>
    <t>SPXVN052643672395</t>
  </si>
  <si>
    <t>SPXVN059209102515</t>
  </si>
  <si>
    <t>SPXVN051638181845</t>
  </si>
  <si>
    <t>Combo hộp 10 bút chì TL x4</t>
  </si>
  <si>
    <t>SPXVN058122851425</t>
  </si>
  <si>
    <t>Dây nước xả vải</t>
  </si>
  <si>
    <t>SPXVN053794343425</t>
  </si>
  <si>
    <t>SPXVN057111313525</t>
  </si>
  <si>
    <t>SPXVN053731285655</t>
  </si>
  <si>
    <t>Neptune 1l</t>
  </si>
  <si>
    <t>SPXVN054820801365</t>
  </si>
  <si>
    <t>Lốc 6 lon redbull</t>
  </si>
  <si>
    <t>SPXVN057303592335</t>
  </si>
  <si>
    <t>SPXVN050557785165</t>
  </si>
  <si>
    <t>SPXVN053669117535</t>
  </si>
  <si>
    <t>SPXVN052346225575</t>
  </si>
  <si>
    <t>Combo 3 tam thái tử</t>
  </si>
  <si>
    <t>SPXVN055230326575</t>
  </si>
  <si>
    <t>SPXVN056461092945</t>
  </si>
  <si>
    <t>86 /65</t>
  </si>
  <si>
    <t>GYF3YW4L</t>
  </si>
  <si>
    <t>GYF3ABFW</t>
  </si>
  <si>
    <t>Quần sịp x5</t>
  </si>
  <si>
    <t>GYFYFHHX</t>
  </si>
  <si>
    <t>SPXVN055494942465</t>
  </si>
  <si>
    <t>86 /97</t>
  </si>
  <si>
    <t>Lăn khử mùi</t>
  </si>
  <si>
    <t>GYFAMTXD</t>
  </si>
  <si>
    <t>SPXVN058761065845</t>
  </si>
  <si>
    <t>29 /5 NDC</t>
  </si>
  <si>
    <t>SPXVN051220522045</t>
  </si>
  <si>
    <t>SPEVN256584022328Z</t>
  </si>
  <si>
    <t>Combo 6 sữa ông thọ</t>
  </si>
  <si>
    <t>SPXVN053288662535</t>
  </si>
  <si>
    <t>SPXVN056729790185</t>
  </si>
  <si>
    <t>SPXVN051988938705</t>
  </si>
  <si>
    <t>84 TBH</t>
  </si>
  <si>
    <t>SPXVN059712294775</t>
  </si>
  <si>
    <t>Kính cường lực iqoo z9</t>
  </si>
  <si>
    <t>SPXVN056596700366</t>
  </si>
  <si>
    <t>SPXVN052518999076</t>
  </si>
  <si>
    <t>SPXVN053014597966</t>
  </si>
  <si>
    <t>SPXVN059901881625</t>
  </si>
  <si>
    <t>SPXVN054124387656</t>
  </si>
  <si>
    <t>SPXVN054630955166</t>
  </si>
  <si>
    <t>Túi rửa chén sunlight</t>
  </si>
  <si>
    <t>SPXVN059808793486</t>
  </si>
  <si>
    <t>SPXVN057464297316</t>
  </si>
  <si>
    <t>SPXVN059111698626</t>
  </si>
  <si>
    <t>76 ND</t>
  </si>
  <si>
    <t>Bút chì vàng x3</t>
  </si>
  <si>
    <t>SPXVN052242151876</t>
  </si>
  <si>
    <t>Hạt nêm nấm hương x2</t>
  </si>
  <si>
    <t>SPXVN057387087976</t>
  </si>
  <si>
    <t>redbull x6</t>
  </si>
  <si>
    <t>tiktok</t>
  </si>
  <si>
    <t>Simply 1l x2</t>
  </si>
  <si>
    <t>Simply 1l x2 + nhị ca</t>
  </si>
  <si>
    <t>SPXVN058962495236</t>
  </si>
  <si>
    <t>GY7WETGH</t>
  </si>
  <si>
    <t>SPXVN055834963206</t>
  </si>
  <si>
    <t>Bút xóa kéo</t>
  </si>
  <si>
    <t>SPXVN056151411436</t>
  </si>
  <si>
    <t>SPXVN053007020596</t>
  </si>
  <si>
    <t>SPXVN050732186406</t>
  </si>
  <si>
    <t>SPXVN050652761736</t>
  </si>
  <si>
    <t>GY7HYATM</t>
  </si>
  <si>
    <t>SPXVN050971953686</t>
  </si>
  <si>
    <t>SPXVN056997213486</t>
  </si>
  <si>
    <t>SPXVN054373961536</t>
  </si>
  <si>
    <t>SPXVN058722661226</t>
  </si>
  <si>
    <t>SPXVN054911687936</t>
  </si>
  <si>
    <t>SPXVN059044432296</t>
  </si>
  <si>
    <t>SPXVN054664912076</t>
  </si>
  <si>
    <t>GY7RWG74</t>
  </si>
  <si>
    <t>SPXVN052726614076</t>
  </si>
  <si>
    <t>SPXVN054440148636</t>
  </si>
  <si>
    <t>SPXVN050208546276</t>
  </si>
  <si>
    <t>SPXVN058066780416</t>
  </si>
  <si>
    <t>Sữ ông thọ hộp giấy</t>
  </si>
  <si>
    <t>SPXVN058381785046</t>
  </si>
  <si>
    <t>SPXVN052528202236</t>
  </si>
  <si>
    <t>SPXVN051643665956</t>
  </si>
  <si>
    <t>SPXVN053032283196</t>
  </si>
  <si>
    <t>SPXVN058449624606</t>
  </si>
  <si>
    <t>SPXVN055030120486</t>
  </si>
  <si>
    <t>Bút xóa TL x6</t>
  </si>
  <si>
    <t>SPXVN053279637296</t>
  </si>
  <si>
    <t>86 /86</t>
  </si>
  <si>
    <t>SPXVN056276521846</t>
  </si>
  <si>
    <t>SPXVN050029238376</t>
  </si>
  <si>
    <t>SPEVN250217956322X</t>
  </si>
  <si>
    <t>blank</t>
  </si>
  <si>
    <t>SPXVN055106905846</t>
  </si>
  <si>
    <t>Viên kẽm 20 ngày</t>
  </si>
  <si>
    <t>SPXVN051421907216</t>
  </si>
  <si>
    <t>SPXVN050099421546</t>
  </si>
  <si>
    <t>SPXVN059587077356</t>
  </si>
  <si>
    <t>SPXVN050855022716</t>
  </si>
  <si>
    <t>SPXVN055573933896</t>
  </si>
  <si>
    <t>SPXVN053818675916</t>
  </si>
  <si>
    <t>SPXVN050730183496</t>
  </si>
  <si>
    <t>Khóa chưa bù</t>
  </si>
  <si>
    <t>SPXVN055203927187</t>
  </si>
  <si>
    <t>SPXVN053417275216</t>
  </si>
  <si>
    <t>Sổ vẽ x4</t>
  </si>
  <si>
    <t>SPXVN053705859706</t>
  </si>
  <si>
    <t>SPEVN2540077052915</t>
  </si>
  <si>
    <t>Dao rọc giấy Deli x5</t>
  </si>
  <si>
    <t>Cho nợ</t>
  </si>
  <si>
    <t>Đóng quỹ đá banh</t>
  </si>
  <si>
    <t>SPXVN059868468907</t>
  </si>
  <si>
    <t>Kính mát cho ba</t>
  </si>
  <si>
    <t>SPXVN055877624047</t>
  </si>
  <si>
    <t>Dao rọc giấy Deli x7</t>
  </si>
  <si>
    <t>SPXVN058866083197</t>
  </si>
  <si>
    <t>SPXVN056023288747</t>
  </si>
  <si>
    <t>Vở hồng hà x5 +</t>
  </si>
  <si>
    <t>SPXVN051644818217</t>
  </si>
  <si>
    <t>Ajinomoto 2kg</t>
  </si>
  <si>
    <t>má trả</t>
  </si>
  <si>
    <t>SPXVN058956348237</t>
  </si>
  <si>
    <t>Grap</t>
  </si>
  <si>
    <t>Ăn uống</t>
  </si>
  <si>
    <t>SPXVN055874921067</t>
  </si>
  <si>
    <t>4 bút máy 50 ống mực xanh</t>
  </si>
  <si>
    <t>SPXVN056246330507</t>
  </si>
  <si>
    <t>69 ND</t>
  </si>
  <si>
    <t>Ajinomoto 1kg</t>
  </si>
  <si>
    <t>SPXVN053248150707</t>
  </si>
  <si>
    <t>SPXVN057129040607</t>
  </si>
  <si>
    <t>SPXVN057776013747</t>
  </si>
  <si>
    <t>Tiền G playpass</t>
  </si>
  <si>
    <t>SPXVN056146915527</t>
  </si>
  <si>
    <t>SPXVN053702839157</t>
  </si>
  <si>
    <t>86 /77</t>
  </si>
  <si>
    <t>Viên giặt xả</t>
  </si>
  <si>
    <t>SPXVN057490762957</t>
  </si>
  <si>
    <t>Túi lau sàn sunlight 3.6kg</t>
  </si>
  <si>
    <t>SPXVN053431928657</t>
  </si>
  <si>
    <t>86 /22</t>
  </si>
  <si>
    <t>SPXVN055656364537</t>
  </si>
  <si>
    <t>SPXVN056439176367</t>
  </si>
  <si>
    <t>13 ND</t>
  </si>
  <si>
    <t>Lau sàn sulight</t>
  </si>
  <si>
    <t>SPXVN052241578447</t>
  </si>
  <si>
    <t>SPXVN052491463587</t>
  </si>
  <si>
    <t>SPXVN057736215847</t>
  </si>
  <si>
    <t xml:space="preserve">Mỳ ly + </t>
  </si>
  <si>
    <t>GYGMDGR6</t>
  </si>
  <si>
    <t>14 TCV</t>
  </si>
  <si>
    <t>SPXVN056442268387</t>
  </si>
  <si>
    <t>Combo 5 mỳ trộn</t>
  </si>
  <si>
    <t>SPXVN055145644057</t>
  </si>
  <si>
    <t>Combo 2 nhất ca x2</t>
  </si>
  <si>
    <t>SPXVN058620842117</t>
  </si>
  <si>
    <t>SPXVN052620463207</t>
  </si>
  <si>
    <t>SPXVN052046902387</t>
  </si>
  <si>
    <t>86 /91</t>
  </si>
  <si>
    <t>SPXVN054087868477</t>
  </si>
  <si>
    <t>86 /61</t>
  </si>
  <si>
    <t>Chôm</t>
  </si>
  <si>
    <t>SPXVN058788933037</t>
  </si>
  <si>
    <t>66 TCV</t>
  </si>
  <si>
    <t>SPXVN056078656797</t>
  </si>
  <si>
    <t>Hộp 10 bút chì TL x4</t>
  </si>
  <si>
    <t>SPXVN058026444727</t>
  </si>
  <si>
    <t>34 TCV</t>
  </si>
  <si>
    <t>SPXVN053892916967</t>
  </si>
  <si>
    <t>SPEVN2502137944460</t>
  </si>
  <si>
    <t>SPXVN052828372477</t>
  </si>
  <si>
    <t>Modern x5</t>
  </si>
  <si>
    <t>SPXVN058700843648</t>
  </si>
  <si>
    <t>59 ND</t>
  </si>
  <si>
    <t>Lau sàn sulight 3.6kg</t>
  </si>
  <si>
    <t>SPXVN053148730738</t>
  </si>
  <si>
    <t>SPXVN050198951608</t>
  </si>
  <si>
    <t>SPXVN056257016978</t>
  </si>
  <si>
    <t>SPEVN256448346477F</t>
  </si>
  <si>
    <t>69 TCV</t>
  </si>
  <si>
    <t>Sổ lò xo A4 x4</t>
  </si>
  <si>
    <t>12 TCV</t>
  </si>
  <si>
    <t>Gôm TL</t>
  </si>
  <si>
    <t>SPXVN050876449648</t>
  </si>
  <si>
    <t>SPXVN055747875198</t>
  </si>
  <si>
    <t xml:space="preserve">Selsun </t>
  </si>
  <si>
    <t>SPXVN051985003538</t>
  </si>
  <si>
    <t>SPXVN054389383878</t>
  </si>
  <si>
    <t>46 TCV</t>
  </si>
  <si>
    <t>GYCFL7G6</t>
  </si>
  <si>
    <t>63 TP</t>
  </si>
  <si>
    <t>Túi rử chén Lix</t>
  </si>
  <si>
    <t>SPXVN056625468978</t>
  </si>
  <si>
    <t>Bột ngọt Ajinomoto 1kg x2</t>
  </si>
  <si>
    <t>SPXVN058993416638</t>
  </si>
  <si>
    <t>SPXVN053364930728</t>
  </si>
  <si>
    <t>SPXVN055233855988</t>
  </si>
  <si>
    <t>87 /6</t>
  </si>
  <si>
    <t>SPXVN050992574408</t>
  </si>
  <si>
    <t>41 TCV</t>
  </si>
  <si>
    <t>SPXVN050445903068</t>
  </si>
  <si>
    <t>67 TP</t>
  </si>
  <si>
    <t>SPXVN059565758158</t>
  </si>
  <si>
    <t>SPXVN050314830348</t>
  </si>
  <si>
    <t>Quần sịp Coolmate</t>
  </si>
  <si>
    <t>SPXVN054194498918</t>
  </si>
  <si>
    <t>Cờ đỏ khai giảng</t>
  </si>
  <si>
    <t>SPXVN057402595458</t>
  </si>
  <si>
    <t>Thái dương gói x50</t>
  </si>
  <si>
    <t>86 /16</t>
  </si>
  <si>
    <t>GYCNA7F4</t>
  </si>
  <si>
    <t>SPXVN050736613668</t>
  </si>
  <si>
    <t>Combo 100 khẩu trang</t>
  </si>
  <si>
    <t>SPXVN053062190058</t>
  </si>
  <si>
    <t>SPXVN056333902668</t>
  </si>
  <si>
    <t>SPXVN058918600698</t>
  </si>
  <si>
    <t>Hộp bút chì vàng x2</t>
  </si>
  <si>
    <t>SPXVN053270818498</t>
  </si>
  <si>
    <t>SPXVN059258418618</t>
  </si>
  <si>
    <t>86 /10</t>
  </si>
  <si>
    <t>Tất coolmate</t>
  </si>
  <si>
    <t>SPXVN050032802828</t>
  </si>
  <si>
    <t>Bột ngọt hạt lớn 1kg</t>
  </si>
  <si>
    <t>SPXVN059606918048</t>
  </si>
  <si>
    <t>Combo 5 mỳ ly hảo hảo</t>
  </si>
  <si>
    <t>86 /12</t>
  </si>
  <si>
    <t>GYCH8WKG</t>
  </si>
  <si>
    <t>SPXVN056235336448</t>
  </si>
  <si>
    <t>33 ND</t>
  </si>
  <si>
    <t>Cờ đỏ khai giảng x20</t>
  </si>
  <si>
    <t>SPXVN053512035588</t>
  </si>
  <si>
    <t>Dao rọc giấy cute</t>
  </si>
  <si>
    <t>SPXVN056697554968</t>
  </si>
  <si>
    <t>SPXVN053947103498</t>
  </si>
  <si>
    <t>SPXVN056218756418</t>
  </si>
  <si>
    <t>Yêu những điều không hoàn hảo</t>
  </si>
  <si>
    <t>SPXVN058523885438</t>
  </si>
  <si>
    <t>86 /100</t>
  </si>
  <si>
    <t>Dép</t>
  </si>
  <si>
    <t>SPXVN059815915878</t>
  </si>
  <si>
    <t>Bút lông TL nhỏ x12</t>
  </si>
  <si>
    <t>SPXVN058172732218</t>
  </si>
  <si>
    <t>Bút gel x20</t>
  </si>
  <si>
    <t>SPXVN054758814458</t>
  </si>
  <si>
    <t>Dao rọc giấy Deli x6</t>
  </si>
  <si>
    <t>SPXVN058244643668</t>
  </si>
  <si>
    <t>86 /69</t>
  </si>
  <si>
    <t>Ô dù</t>
  </si>
  <si>
    <t>SPXVN058980801328</t>
  </si>
  <si>
    <t>Hộp 10 bút chì vàng x4</t>
  </si>
  <si>
    <t>SPXVN052048130298</t>
  </si>
  <si>
    <t>SPXVN057586989178</t>
  </si>
  <si>
    <t>Combo 5 cờ x3</t>
  </si>
  <si>
    <t>SPXVN058259636158</t>
  </si>
  <si>
    <t>GYCMWW8Q</t>
  </si>
  <si>
    <t>Combo 5 cờ x2</t>
  </si>
  <si>
    <t>1 ND</t>
  </si>
  <si>
    <t>SPXVN053043744038</t>
  </si>
  <si>
    <t>11 ND</t>
  </si>
  <si>
    <t>Túi giặt hàn quốc</t>
  </si>
  <si>
    <t>SPXVN051677822558</t>
  </si>
  <si>
    <t>SPXVN054412498078</t>
  </si>
  <si>
    <t>Khăn đa năng mềm mại</t>
  </si>
  <si>
    <t>SPXVN059481926488</t>
  </si>
  <si>
    <t>SPXVN053262051008</t>
  </si>
  <si>
    <t>Cờ vẫy x20</t>
  </si>
  <si>
    <t>SPXVN058003976008</t>
  </si>
  <si>
    <t>SPXVN056116342299</t>
  </si>
  <si>
    <t>SPXVN057783250139</t>
  </si>
  <si>
    <t>SPXVN054972096719</t>
  </si>
  <si>
    <t>SPXVN059601772999</t>
  </si>
  <si>
    <t>Túi nước rửa chén sunlight</t>
  </si>
  <si>
    <t>SPXVN050343768739</t>
  </si>
  <si>
    <t>86 /66</t>
  </si>
  <si>
    <t>Túi Coolmate</t>
  </si>
  <si>
    <t>SPXVN058976313029</t>
  </si>
  <si>
    <t>Combo 10 bút gel Deli</t>
  </si>
  <si>
    <t>SPXVN054511443649</t>
  </si>
  <si>
    <t>Combo 10 bút lông bảng lớn</t>
  </si>
  <si>
    <t>SPXVN057480154239</t>
  </si>
  <si>
    <t>SPXVN054554725449</t>
  </si>
  <si>
    <t>99 TBH</t>
  </si>
  <si>
    <t>SPXVN052182433559</t>
  </si>
  <si>
    <t>Bút sáp màu Deli x4</t>
  </si>
  <si>
    <t>SPXVN059607705429</t>
  </si>
  <si>
    <t>86 /49</t>
  </si>
  <si>
    <t>Combo 2 vớ Bitis</t>
  </si>
  <si>
    <t>SPXVN052662926799</t>
  </si>
  <si>
    <t>2 TCV</t>
  </si>
  <si>
    <t>Nước giặt xả Choice</t>
  </si>
  <si>
    <t>Lốc redbull x6</t>
  </si>
  <si>
    <t>G9YP834V</t>
  </si>
  <si>
    <t>64 TCV</t>
  </si>
  <si>
    <t>GY9PBRGH</t>
  </si>
  <si>
    <t>SPXVN055484669129</t>
  </si>
  <si>
    <t>SPXVN057959387939</t>
  </si>
  <si>
    <t>Combo 10 bút lông nhỏ x2</t>
  </si>
  <si>
    <t>SPXVN054718664099</t>
  </si>
  <si>
    <t>SPXVN054857106899</t>
  </si>
  <si>
    <t>111 TP</t>
  </si>
  <si>
    <t>Bột ngọt 1 kg hạt lớn</t>
  </si>
  <si>
    <t>SPXVN052033915689</t>
  </si>
  <si>
    <t>Bột ngọt 2kg hạt nhỏ</t>
  </si>
  <si>
    <t>SPXVN052626355159</t>
  </si>
  <si>
    <t>SPXVN050155076329</t>
  </si>
  <si>
    <t>36 TCV</t>
  </si>
  <si>
    <t>SPXVN055095296789</t>
  </si>
  <si>
    <t>31 TCV</t>
  </si>
  <si>
    <t>SHOPEEVTPVN2505332136916</t>
  </si>
  <si>
    <t>288 TP</t>
  </si>
  <si>
    <t>SPXVN058328048289</t>
  </si>
  <si>
    <t>120 TP</t>
  </si>
  <si>
    <t>SPXVN052758629649</t>
  </si>
  <si>
    <t>SPXVN053438054129</t>
  </si>
  <si>
    <t>Combo 5 bút gel x4</t>
  </si>
  <si>
    <t>SPXVN059421574699</t>
  </si>
  <si>
    <t>1 TP</t>
  </si>
  <si>
    <t>15 TCV</t>
  </si>
  <si>
    <t>SPXVN056413424889</t>
  </si>
  <si>
    <t>Ruột chì kim</t>
  </si>
  <si>
    <t>SPXVN055653411799</t>
  </si>
  <si>
    <t>Trà tâm sen</t>
  </si>
  <si>
    <t>86 /52</t>
  </si>
  <si>
    <t>SPXVN050364591249</t>
  </si>
  <si>
    <t>Bột ngọt ajinomoto hạt nhỏ</t>
  </si>
  <si>
    <t>Mỳ ly x6</t>
  </si>
  <si>
    <t>SPXVN059522466769</t>
  </si>
  <si>
    <t>Xịt quần áo</t>
  </si>
  <si>
    <t>Túi đeo chéo</t>
  </si>
  <si>
    <t>SPXVN054217623789</t>
  </si>
  <si>
    <t>Áo đá banh arsenal</t>
  </si>
  <si>
    <t>SPXVN050879180529</t>
  </si>
  <si>
    <t>SPXVN056744449679</t>
  </si>
  <si>
    <t>Bút dạ thiên long x10</t>
  </si>
  <si>
    <t>SPXVN051123133629</t>
  </si>
  <si>
    <t>86 TP</t>
  </si>
  <si>
    <t>SPXVN058102173769</t>
  </si>
  <si>
    <t>20 TCV</t>
  </si>
  <si>
    <t>SPXVN057119709359</t>
  </si>
  <si>
    <t>SPXVN058192806039</t>
  </si>
  <si>
    <t>SPXVN051718019599</t>
  </si>
  <si>
    <t>SPXVN057580829769</t>
  </si>
  <si>
    <t>SPXVN051478004669</t>
  </si>
  <si>
    <t>SPXVN050611117169</t>
  </si>
  <si>
    <t>19 ND</t>
  </si>
  <si>
    <t>Vở vẽ x4</t>
  </si>
  <si>
    <t>250925EK5DDKDK</t>
  </si>
  <si>
    <t>SPXVN059381093229</t>
  </si>
  <si>
    <t>SPXVN055505980389</t>
  </si>
  <si>
    <t>24 TCV</t>
  </si>
  <si>
    <t>Bộ thước Deli x5</t>
  </si>
  <si>
    <t>SPXVN051699994319</t>
  </si>
  <si>
    <t>Bột ngọt aji hạt lớn 1kg x2</t>
  </si>
  <si>
    <t>SPXVN05328794451A</t>
  </si>
  <si>
    <t>67 TCV</t>
  </si>
  <si>
    <t>SPXVN05188722396A</t>
  </si>
  <si>
    <t>100 TP</t>
  </si>
  <si>
    <t>Sổ lò xo a7</t>
  </si>
  <si>
    <t>GYVDM3MR</t>
  </si>
  <si>
    <t>10 TCV</t>
  </si>
  <si>
    <t>Hộp bút chì vàng x4</t>
  </si>
  <si>
    <t>SPXVN050508218599</t>
  </si>
  <si>
    <t>SPXVN05205258076A</t>
  </si>
  <si>
    <t>Combo 2 nước lau sàn</t>
  </si>
  <si>
    <t>SPXVN05525023197A</t>
  </si>
  <si>
    <t>SPXVN05643181579A</t>
  </si>
  <si>
    <t>SPXVN05460591140A</t>
  </si>
  <si>
    <t>SPXVN05033688896A</t>
  </si>
  <si>
    <t>Nước rửa chén sunlight 3.1kg</t>
  </si>
  <si>
    <t>SPXVN05422929183A</t>
  </si>
  <si>
    <t>Hỗn hợp tăng vị bột ngọt</t>
  </si>
  <si>
    <t>SPXVN05602131662A</t>
  </si>
  <si>
    <t>44 TCV</t>
  </si>
  <si>
    <t>Nước rửa chén sunlight</t>
  </si>
  <si>
    <t>SPXVN05956671312A</t>
  </si>
  <si>
    <t>SPXVN05527515276A</t>
  </si>
  <si>
    <t>SPXVN05094328631A</t>
  </si>
  <si>
    <t>Combo 2 ajino 1kg hạt lớn</t>
  </si>
  <si>
    <t>SPXVN05727942814A</t>
  </si>
  <si>
    <t>Vở vẽ học sinh x5</t>
  </si>
  <si>
    <t>SPXVN05796293428A</t>
  </si>
  <si>
    <t>Hạt nêm magi nấm hương x2</t>
  </si>
  <si>
    <t>SPXVN05144064999A</t>
  </si>
  <si>
    <t>SPXVN05275677145A</t>
  </si>
  <si>
    <t>Bột ngọt 2kg hạt lớn</t>
  </si>
  <si>
    <t>56 TCV</t>
  </si>
  <si>
    <t>SPXVN05372041905A</t>
  </si>
  <si>
    <t>SPXVN05093912462A</t>
  </si>
  <si>
    <t>Hộp 12 bút deli x2</t>
  </si>
  <si>
    <t>SPXVN05824715057A</t>
  </si>
  <si>
    <t>Bột ngọt ajino hạt lớn 1.8 kg</t>
  </si>
  <si>
    <t>SPXVN05665693004A</t>
  </si>
  <si>
    <t>SPXVN05984047618A</t>
  </si>
  <si>
    <t>30 TCV</t>
  </si>
  <si>
    <t>SPXVN05949159989A</t>
  </si>
  <si>
    <t>SPXVN05836897408A</t>
  </si>
  <si>
    <t>SPXVN05116368065A</t>
  </si>
  <si>
    <t>SPXVN05943661562A</t>
  </si>
  <si>
    <t>Bột ngọt aji hạt lớn 1.8kg</t>
  </si>
  <si>
    <t>SPXVN05188003351A</t>
  </si>
  <si>
    <t>SPXVN05845180749A</t>
  </si>
  <si>
    <t>SPXVN05773707230A</t>
  </si>
  <si>
    <t>Combo 2 bột ngọt aji hạt lớn</t>
  </si>
  <si>
    <t>76 TCV</t>
  </si>
  <si>
    <t>SPXVN05070664768A</t>
  </si>
  <si>
    <t>40 TCV</t>
  </si>
  <si>
    <t>Vở hồng hà x5 + hồ khô</t>
  </si>
  <si>
    <t>SPXVN05010457697A</t>
  </si>
  <si>
    <t>SPXVN05392446534A</t>
  </si>
  <si>
    <t>68 TCV</t>
  </si>
  <si>
    <t>Hộp 12 bút gel Deli</t>
  </si>
  <si>
    <t>SPXVN05519363984A</t>
  </si>
  <si>
    <t>Bút gel deli x15</t>
  </si>
  <si>
    <t>SPXVN05409218990A</t>
  </si>
  <si>
    <t>mắc</t>
  </si>
  <si>
    <t>SPXVN05148056306A</t>
  </si>
  <si>
    <t xml:space="preserve">38 TP </t>
  </si>
  <si>
    <t>Sổ lò xo a6 x5</t>
  </si>
  <si>
    <t>SPXVN05119189203A</t>
  </si>
  <si>
    <t>SPXVN05816382037A</t>
  </si>
  <si>
    <t>Bột ngọt aji hạt lớn x2</t>
  </si>
  <si>
    <t>SPXVN05601445346A</t>
  </si>
  <si>
    <t>88 TCV</t>
  </si>
  <si>
    <t>Bút gel Deli x15</t>
  </si>
  <si>
    <t>SPXVN05028983182A</t>
  </si>
  <si>
    <t>SPXVN05992120838A</t>
  </si>
  <si>
    <t>SPXVN05809364944A</t>
  </si>
  <si>
    <t>Bút xóa nước Deli x7</t>
  </si>
  <si>
    <t>SPXVN05353590139A</t>
  </si>
  <si>
    <t>SPXVN05541099600A</t>
  </si>
  <si>
    <t>SPXVN05388396521A</t>
  </si>
  <si>
    <t>SPXVN05284685591A</t>
  </si>
  <si>
    <t>8 TCV</t>
  </si>
  <si>
    <t>Bộ thước deli x3</t>
  </si>
  <si>
    <t>SPXVN05445166449A</t>
  </si>
  <si>
    <t>Combo 6 mỳ ly cung đình</t>
  </si>
  <si>
    <t>SPXVN05047570426A</t>
  </si>
  <si>
    <t>Chinsu x2 và giấy rút</t>
  </si>
  <si>
    <t>SPXVN05980895003A</t>
  </si>
  <si>
    <t>SPXVN05946577009B</t>
  </si>
  <si>
    <t>mỳ ly x8</t>
  </si>
  <si>
    <t>SPXVN05833191857B</t>
  </si>
  <si>
    <t>86 /67</t>
  </si>
  <si>
    <t>Dây dầu gội thái dương</t>
  </si>
  <si>
    <t>SPXVN05135325131A</t>
  </si>
  <si>
    <t>Combo 2 bột ngọt aji</t>
  </si>
  <si>
    <t>SPXVN05737629006A</t>
  </si>
  <si>
    <t>72 TCV</t>
  </si>
  <si>
    <t>GY6KQGHH</t>
  </si>
  <si>
    <t>22 TCV</t>
  </si>
  <si>
    <t>Bột ngọt aji</t>
  </si>
  <si>
    <t>SPXVN05339045757A</t>
  </si>
  <si>
    <t>SPXVN05476123890A</t>
  </si>
  <si>
    <t>86 /36</t>
  </si>
  <si>
    <t>Hộp quà Vương nhất bác</t>
  </si>
  <si>
    <t>SPXVN05906505604B</t>
  </si>
  <si>
    <t>SPXVN05535914633B</t>
  </si>
  <si>
    <t>SPXVN05246376566B</t>
  </si>
  <si>
    <t>SPXVN05973672518B</t>
  </si>
  <si>
    <t>Nước lau sàn 3.6 kg</t>
  </si>
  <si>
    <t>SPXVN05387916518B</t>
  </si>
  <si>
    <t>SPXVN05243572177B</t>
  </si>
  <si>
    <t>Khăn lau tay nhà bếp</t>
  </si>
  <si>
    <t>SPXVN05770012931B</t>
  </si>
  <si>
    <t>SPXVN05565532416B</t>
  </si>
  <si>
    <t>Áo real</t>
  </si>
  <si>
    <t>SPXVN05110172602B</t>
  </si>
  <si>
    <t>SPXVN05575114277B</t>
  </si>
  <si>
    <t>Áo mưa</t>
  </si>
  <si>
    <t>45 TCV</t>
  </si>
  <si>
    <t>Nước rủa chén sunlight</t>
  </si>
  <si>
    <t>SPXVN05884623401B</t>
  </si>
  <si>
    <t>SPXVN05702000636B</t>
  </si>
  <si>
    <t>Keo chống thấm</t>
  </si>
  <si>
    <t>86 /44</t>
  </si>
  <si>
    <t>SPXVN05417551298B</t>
  </si>
  <si>
    <t>Mỳ ly 3 miền x5</t>
  </si>
  <si>
    <t>SPXVN05016150594B</t>
  </si>
  <si>
    <t>Gôm tóc</t>
  </si>
  <si>
    <t>SPXVN05088309776B</t>
  </si>
  <si>
    <t>Close up x2</t>
  </si>
  <si>
    <t>18 TCV</t>
  </si>
  <si>
    <t>SPXVN05598089306B</t>
  </si>
  <si>
    <t>SPXVN05579428420B</t>
  </si>
  <si>
    <t>Sách bạn đang nghịch gì…</t>
  </si>
  <si>
    <t>SPXVN05955368138B</t>
  </si>
  <si>
    <t>SPXVN05350771101B</t>
  </si>
  <si>
    <t>Chai rửa chén sunlight x3</t>
  </si>
  <si>
    <t>SPXVN05191026589B</t>
  </si>
  <si>
    <t>86 /42</t>
  </si>
  <si>
    <t>Sách hạnh phúc tuổi trẻ</t>
  </si>
  <si>
    <t>SPXVN05597227911B</t>
  </si>
  <si>
    <t>Sách Lão Tử</t>
  </si>
  <si>
    <t>SPXVN05911078012B</t>
  </si>
  <si>
    <t>Sách Cái tôi chưa khai phá</t>
  </si>
  <si>
    <t>SPXVN05681201730B</t>
  </si>
  <si>
    <t>Sách luật nhân quả</t>
  </si>
  <si>
    <t>SPXVN05969254574B</t>
  </si>
  <si>
    <t>Combo luân hồi tiền kiếp</t>
  </si>
  <si>
    <t>SPXVN05397350943B</t>
  </si>
  <si>
    <t>Sách tiền kiếp có hay không</t>
  </si>
  <si>
    <t>SPXVN05476776117B</t>
  </si>
  <si>
    <t>Sách đi tìm lẽ sống</t>
  </si>
  <si>
    <t>86 /40</t>
  </si>
  <si>
    <t>SPXVN05817678237B</t>
  </si>
  <si>
    <t>Bột ngọt Aji 1 kg</t>
  </si>
  <si>
    <t>SPXVN05662841380B</t>
  </si>
  <si>
    <t>Sách đường xưa + không diệt</t>
  </si>
  <si>
    <t>SPXVN05882496416B</t>
  </si>
  <si>
    <t>Tấm silicon</t>
  </si>
  <si>
    <t>SPXVN05600604547B</t>
  </si>
  <si>
    <t>Sách đường đời muôn ngã</t>
  </si>
  <si>
    <t>SPXVN05522743318B</t>
  </si>
  <si>
    <t>Sách thiết kế và bài trí cửa hàng</t>
  </si>
  <si>
    <t>SPXVN05265464687C</t>
  </si>
  <si>
    <t>SPXVN05274638578C</t>
  </si>
  <si>
    <t>10 TTT</t>
  </si>
  <si>
    <t>Sách sợ hãi</t>
  </si>
  <si>
    <t>Nước lau sàn</t>
  </si>
  <si>
    <t>SPXVN05539880163C</t>
  </si>
  <si>
    <t>SPXVN05215538392C</t>
  </si>
  <si>
    <t>SPXVN05890855208C</t>
  </si>
  <si>
    <t>SPXVN05006893918C</t>
  </si>
  <si>
    <t>SPXVN05620285111C</t>
  </si>
  <si>
    <t>SPXVN05249894270C</t>
  </si>
  <si>
    <t>SPXVN05655730205C</t>
  </si>
  <si>
    <t>SPXVN05981206312C</t>
  </si>
  <si>
    <t>Hạt nêm Knor nấm hương</t>
  </si>
  <si>
    <t>SPXVN05189821707C</t>
  </si>
  <si>
    <t>Nhãn vở học sinh</t>
  </si>
  <si>
    <t>SPXVN05584795258C</t>
  </si>
  <si>
    <t>SPXVN05145647383C</t>
  </si>
  <si>
    <t>Sổ vẽ màu nước a4 lò xo x3</t>
  </si>
  <si>
    <t>SPXVN05361910413C</t>
  </si>
  <si>
    <t>54 TCV</t>
  </si>
  <si>
    <t>SPXVN05315173744C</t>
  </si>
  <si>
    <t>86 /19</t>
  </si>
  <si>
    <t>SPXVN05202737908C</t>
  </si>
  <si>
    <t>SPXVN05504250079C</t>
  </si>
  <si>
    <t>Bút gel Thiên long x10</t>
  </si>
  <si>
    <t>SPXVN05906997288C</t>
  </si>
  <si>
    <t>Sách Đường vào thiền</t>
  </si>
  <si>
    <t>12 TTT</t>
  </si>
  <si>
    <t>SPXVN05847594967C</t>
  </si>
  <si>
    <t>Sách Hoa không nở</t>
  </si>
  <si>
    <t>86 /68</t>
  </si>
  <si>
    <t>SPXVN05375664944C</t>
  </si>
  <si>
    <t>26 TCV</t>
  </si>
  <si>
    <t>SPXVN05100433538C</t>
  </si>
  <si>
    <t>SPXVN05814235727C</t>
  </si>
  <si>
    <t>SPXVN05054544190C</t>
  </si>
  <si>
    <t>SPXVN05205683268C</t>
  </si>
  <si>
    <t>vở hồng hà x5</t>
  </si>
  <si>
    <t>SPXVN05166377820C</t>
  </si>
  <si>
    <t>Dầu gồi thái dương</t>
  </si>
  <si>
    <t>SPXVN05693692760C</t>
  </si>
  <si>
    <t>Đèn led USB</t>
  </si>
  <si>
    <t>SPXVN05381265899C</t>
  </si>
  <si>
    <t>Tất cổ trung</t>
  </si>
  <si>
    <t>SPXVN05375311954C</t>
  </si>
  <si>
    <t>Mỳ ly x10</t>
  </si>
  <si>
    <t>SPXVN05855546971C</t>
  </si>
  <si>
    <t>Kệ sách mini</t>
  </si>
  <si>
    <t>SPXVN05489433232C</t>
  </si>
  <si>
    <t>Bút chì Deli</t>
  </si>
  <si>
    <t>SPXVN05179193890C</t>
  </si>
  <si>
    <t>SPXVN05847501561C</t>
  </si>
  <si>
    <t>Vở ve lò xo a4 x7</t>
  </si>
  <si>
    <t>SPXVN05167763050C</t>
  </si>
  <si>
    <t>Kem đánh răng Sensodyne</t>
  </si>
  <si>
    <t>SPXVN05574445650C</t>
  </si>
  <si>
    <t>Lịch 2026</t>
  </si>
  <si>
    <t>SPXVN05785791550C</t>
  </si>
  <si>
    <t>Chai xịt giày</t>
  </si>
  <si>
    <t>SPXVN05409964147C</t>
  </si>
  <si>
    <t>20 TTT</t>
  </si>
  <si>
    <t>SPXVN05248975928C</t>
  </si>
  <si>
    <t>Bút lông đầu gôm</t>
  </si>
  <si>
    <t>Số tiền gốc</t>
  </si>
  <si>
    <t>Số tiền sau khi được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</si>
</sst>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9"/>
      <color theme="1"/>
      <name val="Times New Roman"/>
      <family val="1"/>
      <scheme val="major"/>
    </font>
    <font>
      <sz val="11"/>
      <color rgb="FFFFFFFF"/>
      <name val="Segoe UI Historic"/>
      <family val="2"/>
    </font>
    <font>
      <sz val="11"/>
      <color rgb="FF081B3A"/>
      <name val="Segoe UI"/>
      <family val="2"/>
    </font>
    <font>
      <sz val="11"/>
      <color rgb="FF081B3A"/>
      <name val="SegoeuiPc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14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1" xfId="0" applyNumberFormat="1" applyFont="1" applyBorder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3" fontId="2" fillId="0" borderId="2" xfId="0" applyNumberFormat="1" applyFont="1" applyBorder="1"/>
    <xf numFmtId="0" fontId="0" fillId="0" borderId="1" xfId="0" applyBorder="1" applyAlignment="1">
      <alignment wrapText="1"/>
    </xf>
    <xf numFmtId="0" fontId="2" fillId="0" borderId="3" xfId="0" applyFont="1" applyBorder="1"/>
    <xf numFmtId="0" fontId="4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16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2DD7-7B94-4D3E-8326-A5C42E9AF94A}">
  <dimension ref="A1:O676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25"/>
  <cols>
    <col min="1" max="1" width="11.125" customWidth="1"/>
    <col min="2" max="2" width="27" bestFit="1" customWidth="1"/>
    <col min="3" max="3" width="14.625" bestFit="1" customWidth="1"/>
    <col min="4" max="4" width="26.125" bestFit="1" customWidth="1"/>
    <col min="5" max="5" width="13.75" style="10" customWidth="1"/>
    <col min="6" max="6" width="14.375" customWidth="1"/>
    <col min="7" max="7" width="20.5" customWidth="1"/>
    <col min="8" max="8" width="15.5" customWidth="1"/>
    <col min="11" max="11" width="13" customWidth="1"/>
    <col min="13" max="13" width="11.5" customWidth="1"/>
  </cols>
  <sheetData>
    <row r="1" spans="1:8">
      <c r="A1" s="1" t="s">
        <v>0</v>
      </c>
      <c r="B1" s="1" t="s">
        <v>1</v>
      </c>
      <c r="C1" s="1" t="s">
        <v>1238</v>
      </c>
      <c r="D1" s="1" t="s">
        <v>1239</v>
      </c>
      <c r="E1" s="8" t="s">
        <v>4</v>
      </c>
      <c r="F1" s="1" t="s">
        <v>5</v>
      </c>
      <c r="G1" s="1" t="s">
        <v>6</v>
      </c>
      <c r="H1" s="1" t="s">
        <v>7</v>
      </c>
    </row>
    <row r="2" spans="1:8" ht="15">
      <c r="A2" s="7">
        <v>1</v>
      </c>
      <c r="B2" s="2" t="s">
        <v>173</v>
      </c>
      <c r="C2" s="3">
        <v>56000</v>
      </c>
      <c r="D2" s="3">
        <v>6000</v>
      </c>
      <c r="E2" s="9" t="s">
        <v>169</v>
      </c>
      <c r="F2" s="4">
        <v>45664</v>
      </c>
      <c r="G2" s="6" t="s">
        <v>221</v>
      </c>
      <c r="H2" s="4">
        <v>45666</v>
      </c>
    </row>
    <row r="3" spans="1:8" ht="15">
      <c r="A3" s="7">
        <v>2</v>
      </c>
      <c r="B3" s="2" t="s">
        <v>213</v>
      </c>
      <c r="C3" s="3">
        <v>66000</v>
      </c>
      <c r="D3" s="3">
        <v>16000</v>
      </c>
      <c r="E3" s="9" t="s">
        <v>208</v>
      </c>
      <c r="F3" s="4">
        <v>45663</v>
      </c>
      <c r="G3" s="6" t="s">
        <v>222</v>
      </c>
      <c r="H3" s="4">
        <v>45667</v>
      </c>
    </row>
    <row r="4" spans="1:8" ht="15">
      <c r="A4" s="7">
        <v>3</v>
      </c>
      <c r="B4" s="2" t="s">
        <v>138</v>
      </c>
      <c r="C4" s="3">
        <v>97000</v>
      </c>
      <c r="D4" s="3">
        <v>47000</v>
      </c>
      <c r="E4" s="9" t="s">
        <v>100</v>
      </c>
      <c r="F4" s="4">
        <v>45663</v>
      </c>
      <c r="G4" s="6" t="s">
        <v>223</v>
      </c>
      <c r="H4" s="4">
        <v>45665</v>
      </c>
    </row>
    <row r="5" spans="1:8" ht="15">
      <c r="A5" s="7">
        <v>4</v>
      </c>
      <c r="B5" s="2" t="s">
        <v>138</v>
      </c>
      <c r="C5" s="3">
        <v>97000</v>
      </c>
      <c r="D5" s="3">
        <v>47000</v>
      </c>
      <c r="E5" s="9" t="s">
        <v>44</v>
      </c>
      <c r="F5" s="4">
        <v>45663</v>
      </c>
      <c r="G5" s="6" t="s">
        <v>224</v>
      </c>
      <c r="H5" s="4" t="s">
        <v>144</v>
      </c>
    </row>
    <row r="6" spans="1:8" ht="15">
      <c r="A6" s="7">
        <v>5</v>
      </c>
      <c r="B6" s="2" t="s">
        <v>173</v>
      </c>
      <c r="C6" s="3">
        <v>70000</v>
      </c>
      <c r="D6" s="3">
        <v>20000</v>
      </c>
      <c r="E6" s="9" t="s">
        <v>101</v>
      </c>
      <c r="F6" s="4">
        <v>45663</v>
      </c>
      <c r="G6" s="6" t="s">
        <v>225</v>
      </c>
      <c r="H6" s="4">
        <v>45665</v>
      </c>
    </row>
    <row r="7" spans="1:8" ht="15">
      <c r="A7" s="7">
        <v>6</v>
      </c>
      <c r="B7" s="2" t="s">
        <v>226</v>
      </c>
      <c r="C7" s="3">
        <v>70000</v>
      </c>
      <c r="D7" s="3">
        <v>20000</v>
      </c>
      <c r="E7" s="9" t="s">
        <v>74</v>
      </c>
      <c r="F7" s="4">
        <v>45662</v>
      </c>
      <c r="G7" s="6" t="s">
        <v>227</v>
      </c>
      <c r="H7" s="4">
        <v>45664</v>
      </c>
    </row>
    <row r="8" spans="1:8" ht="15">
      <c r="A8" s="7">
        <v>7</v>
      </c>
      <c r="B8" s="2" t="s">
        <v>212</v>
      </c>
      <c r="C8" s="3">
        <v>65000</v>
      </c>
      <c r="D8" s="3">
        <v>15000</v>
      </c>
      <c r="E8" s="9" t="s">
        <v>149</v>
      </c>
      <c r="F8" s="4">
        <v>45661</v>
      </c>
      <c r="G8" s="6" t="s">
        <v>228</v>
      </c>
      <c r="H8" s="4">
        <v>45663</v>
      </c>
    </row>
    <row r="9" spans="1:8" ht="15">
      <c r="A9" s="7">
        <v>8</v>
      </c>
      <c r="B9" s="2" t="s">
        <v>214</v>
      </c>
      <c r="C9" s="3">
        <v>59997</v>
      </c>
      <c r="D9" s="3">
        <v>9997</v>
      </c>
      <c r="E9" s="9" t="s">
        <v>32</v>
      </c>
      <c r="F9" s="4">
        <v>45660</v>
      </c>
      <c r="G9" s="6" t="s">
        <v>229</v>
      </c>
      <c r="H9" s="4">
        <v>45661</v>
      </c>
    </row>
    <row r="10" spans="1:8" ht="15">
      <c r="A10" s="7">
        <v>9</v>
      </c>
      <c r="B10" s="2" t="s">
        <v>230</v>
      </c>
      <c r="C10" s="3">
        <v>50000</v>
      </c>
      <c r="D10" s="3">
        <v>0</v>
      </c>
      <c r="E10" s="9" t="s">
        <v>32</v>
      </c>
      <c r="F10" s="4">
        <v>45660</v>
      </c>
      <c r="G10" s="6" t="s">
        <v>231</v>
      </c>
      <c r="H10" s="4">
        <v>45662</v>
      </c>
    </row>
    <row r="11" spans="1:8" ht="15">
      <c r="A11" s="7">
        <v>10</v>
      </c>
      <c r="B11" s="2" t="s">
        <v>232</v>
      </c>
      <c r="C11" s="3">
        <v>81500</v>
      </c>
      <c r="D11" s="3">
        <v>31500</v>
      </c>
      <c r="E11" s="9" t="s">
        <v>79</v>
      </c>
      <c r="F11" s="4">
        <v>45659</v>
      </c>
      <c r="G11" s="6" t="s">
        <v>233</v>
      </c>
      <c r="H11" s="4">
        <v>45661</v>
      </c>
    </row>
    <row r="12" spans="1:8" ht="15">
      <c r="A12" s="7">
        <v>11</v>
      </c>
      <c r="B12" s="2" t="s">
        <v>216</v>
      </c>
      <c r="C12" s="3">
        <v>108000</v>
      </c>
      <c r="D12" s="3">
        <v>58000</v>
      </c>
      <c r="E12" s="9" t="s">
        <v>146</v>
      </c>
      <c r="F12" s="4">
        <v>45658</v>
      </c>
      <c r="G12" s="6" t="s">
        <v>234</v>
      </c>
      <c r="H12" s="4">
        <v>45662</v>
      </c>
    </row>
    <row r="13" spans="1:8" ht="15">
      <c r="A13" s="7">
        <v>12</v>
      </c>
      <c r="B13" s="2" t="s">
        <v>235</v>
      </c>
      <c r="C13" s="3">
        <v>48000</v>
      </c>
      <c r="D13" s="3">
        <v>0</v>
      </c>
      <c r="E13" s="9" t="s">
        <v>183</v>
      </c>
      <c r="F13" s="4">
        <v>45657</v>
      </c>
      <c r="G13" s="6" t="s">
        <v>236</v>
      </c>
      <c r="H13" s="4">
        <v>45660</v>
      </c>
    </row>
    <row r="14" spans="1:8" ht="15">
      <c r="A14" s="7">
        <v>13</v>
      </c>
      <c r="B14" s="2" t="s">
        <v>214</v>
      </c>
      <c r="C14" s="3">
        <v>52000</v>
      </c>
      <c r="D14" s="3">
        <v>2000</v>
      </c>
      <c r="E14" s="9" t="s">
        <v>35</v>
      </c>
      <c r="F14" s="4">
        <v>45657</v>
      </c>
      <c r="G14" s="6" t="s">
        <v>237</v>
      </c>
      <c r="H14" s="4">
        <v>45660</v>
      </c>
    </row>
    <row r="15" spans="1:8" ht="15">
      <c r="A15" s="7">
        <v>14</v>
      </c>
      <c r="B15" s="2" t="s">
        <v>238</v>
      </c>
      <c r="C15" s="3">
        <v>235000</v>
      </c>
      <c r="D15" s="3">
        <v>185000</v>
      </c>
      <c r="E15" s="9" t="s">
        <v>129</v>
      </c>
      <c r="F15" s="4">
        <v>45657</v>
      </c>
      <c r="G15" s="6" t="s">
        <v>239</v>
      </c>
      <c r="H15" s="4">
        <v>45659</v>
      </c>
    </row>
    <row r="16" spans="1:8" ht="15">
      <c r="A16" s="7">
        <v>15</v>
      </c>
      <c r="B16" s="2" t="s">
        <v>59</v>
      </c>
      <c r="C16" s="3">
        <v>67000</v>
      </c>
      <c r="D16" s="3">
        <v>17000</v>
      </c>
      <c r="E16" s="9" t="s">
        <v>54</v>
      </c>
      <c r="F16" s="4">
        <v>45670</v>
      </c>
      <c r="G16" s="6" t="s">
        <v>240</v>
      </c>
      <c r="H16" s="4">
        <v>45674</v>
      </c>
    </row>
    <row r="17" spans="1:8" ht="15">
      <c r="A17" s="7">
        <v>16</v>
      </c>
      <c r="B17" s="2" t="s">
        <v>215</v>
      </c>
      <c r="C17" s="3">
        <v>79999</v>
      </c>
      <c r="D17" s="3">
        <v>28999</v>
      </c>
      <c r="E17" s="9" t="s">
        <v>44</v>
      </c>
      <c r="F17" s="4">
        <v>45670</v>
      </c>
      <c r="G17" s="6" t="s">
        <v>241</v>
      </c>
      <c r="H17" s="4">
        <v>45674</v>
      </c>
    </row>
    <row r="18" spans="1:8" ht="15">
      <c r="A18" s="7">
        <v>17</v>
      </c>
      <c r="B18" s="2" t="s">
        <v>242</v>
      </c>
      <c r="C18" s="3">
        <v>55000</v>
      </c>
      <c r="D18" s="3">
        <v>5000</v>
      </c>
      <c r="E18" s="9" t="s">
        <v>27</v>
      </c>
      <c r="F18" s="4">
        <v>45670</v>
      </c>
      <c r="G18" s="6" t="s">
        <v>243</v>
      </c>
      <c r="H18" s="4">
        <v>45673</v>
      </c>
    </row>
    <row r="19" spans="1:8" ht="15">
      <c r="A19" s="7">
        <v>18</v>
      </c>
      <c r="B19" s="2" t="s">
        <v>140</v>
      </c>
      <c r="C19" s="3">
        <v>79800</v>
      </c>
      <c r="D19" s="3">
        <v>29800</v>
      </c>
      <c r="E19" s="9" t="s">
        <v>56</v>
      </c>
      <c r="F19" s="4">
        <v>45669</v>
      </c>
      <c r="G19" s="6" t="s">
        <v>244</v>
      </c>
      <c r="H19" s="4">
        <v>45672</v>
      </c>
    </row>
    <row r="20" spans="1:8" ht="15">
      <c r="A20" s="7">
        <v>19</v>
      </c>
      <c r="B20" s="2" t="s">
        <v>245</v>
      </c>
      <c r="C20" s="3">
        <v>54800</v>
      </c>
      <c r="D20" s="3">
        <v>4800</v>
      </c>
      <c r="E20" s="9" t="s">
        <v>187</v>
      </c>
      <c r="F20" s="4">
        <v>45669</v>
      </c>
      <c r="G20" s="6" t="s">
        <v>246</v>
      </c>
      <c r="H20" s="4">
        <v>45673</v>
      </c>
    </row>
    <row r="21" spans="1:8" ht="15">
      <c r="A21" s="7">
        <v>20</v>
      </c>
      <c r="B21" s="2" t="s">
        <v>247</v>
      </c>
      <c r="C21" s="3">
        <v>81992</v>
      </c>
      <c r="D21" s="3">
        <v>31992</v>
      </c>
      <c r="E21" s="9" t="s">
        <v>119</v>
      </c>
      <c r="F21" s="4">
        <v>45669</v>
      </c>
      <c r="G21" s="6" t="s">
        <v>248</v>
      </c>
      <c r="H21" s="4">
        <v>45672</v>
      </c>
    </row>
    <row r="22" spans="1:8" ht="15">
      <c r="A22" s="7">
        <v>21</v>
      </c>
      <c r="B22" s="2" t="s">
        <v>138</v>
      </c>
      <c r="C22" s="3">
        <v>97000</v>
      </c>
      <c r="D22" s="3">
        <v>47000</v>
      </c>
      <c r="E22" s="9" t="s">
        <v>99</v>
      </c>
      <c r="F22" s="4">
        <v>45669</v>
      </c>
      <c r="G22" s="6" t="s">
        <v>249</v>
      </c>
      <c r="H22" s="4">
        <v>45672</v>
      </c>
    </row>
    <row r="23" spans="1:8" ht="15">
      <c r="A23" s="7">
        <v>22</v>
      </c>
      <c r="B23" s="2" t="s">
        <v>247</v>
      </c>
      <c r="C23" s="3">
        <v>81992</v>
      </c>
      <c r="D23" s="3">
        <v>31992</v>
      </c>
      <c r="E23" s="9" t="s">
        <v>101</v>
      </c>
      <c r="F23" s="4">
        <v>45669</v>
      </c>
      <c r="G23" s="6" t="s">
        <v>250</v>
      </c>
      <c r="H23" s="4">
        <v>45672</v>
      </c>
    </row>
    <row r="24" spans="1:8" ht="15">
      <c r="A24" s="7">
        <v>23</v>
      </c>
      <c r="B24" s="2" t="s">
        <v>193</v>
      </c>
      <c r="C24" s="3">
        <v>57000</v>
      </c>
      <c r="D24" s="3">
        <v>7000</v>
      </c>
      <c r="E24" s="9" t="s">
        <v>83</v>
      </c>
      <c r="F24" s="4">
        <v>45668</v>
      </c>
      <c r="G24" s="6" t="s">
        <v>251</v>
      </c>
      <c r="H24" s="4">
        <v>45672</v>
      </c>
    </row>
    <row r="25" spans="1:8" ht="15">
      <c r="A25" s="7">
        <v>24</v>
      </c>
      <c r="B25" s="2" t="s">
        <v>252</v>
      </c>
      <c r="C25" s="3">
        <v>65000</v>
      </c>
      <c r="D25" s="3">
        <v>15000</v>
      </c>
      <c r="E25" s="9" t="s">
        <v>36</v>
      </c>
      <c r="F25" s="4">
        <v>45668</v>
      </c>
      <c r="G25" s="6" t="s">
        <v>253</v>
      </c>
      <c r="H25" s="4">
        <v>45671</v>
      </c>
    </row>
    <row r="26" spans="1:8" ht="15">
      <c r="A26" s="7">
        <v>25</v>
      </c>
      <c r="B26" s="2" t="s">
        <v>254</v>
      </c>
      <c r="C26" s="3">
        <v>50000</v>
      </c>
      <c r="D26" s="3">
        <v>0</v>
      </c>
      <c r="E26" s="9" t="s">
        <v>194</v>
      </c>
      <c r="F26" s="4">
        <v>45668</v>
      </c>
      <c r="G26" s="6" t="s">
        <v>255</v>
      </c>
      <c r="H26" s="4">
        <v>45671</v>
      </c>
    </row>
    <row r="27" spans="1:8" ht="15">
      <c r="A27" s="7">
        <v>26</v>
      </c>
      <c r="B27" s="2" t="s">
        <v>256</v>
      </c>
      <c r="C27" s="3">
        <v>70000</v>
      </c>
      <c r="D27" s="3">
        <v>20000</v>
      </c>
      <c r="E27" s="9" t="s">
        <v>57</v>
      </c>
      <c r="F27" s="4">
        <v>45668</v>
      </c>
      <c r="G27" s="6" t="s">
        <v>257</v>
      </c>
      <c r="H27" s="4">
        <v>45670</v>
      </c>
    </row>
    <row r="28" spans="1:8" ht="15">
      <c r="A28" s="7">
        <v>27</v>
      </c>
      <c r="B28" s="2" t="s">
        <v>193</v>
      </c>
      <c r="C28" s="3">
        <v>58200</v>
      </c>
      <c r="D28" s="3">
        <v>8200</v>
      </c>
      <c r="E28" s="9" t="s">
        <v>24</v>
      </c>
      <c r="F28" s="4">
        <v>45668</v>
      </c>
      <c r="G28" s="6" t="s">
        <v>258</v>
      </c>
      <c r="H28" s="4">
        <v>45670</v>
      </c>
    </row>
    <row r="29" spans="1:8" ht="15">
      <c r="A29" s="7">
        <v>28</v>
      </c>
      <c r="B29" s="2" t="s">
        <v>173</v>
      </c>
      <c r="C29" s="3">
        <v>80000</v>
      </c>
      <c r="D29" s="3">
        <v>30000</v>
      </c>
      <c r="E29" s="9" t="s">
        <v>106</v>
      </c>
      <c r="F29" s="4">
        <v>45667</v>
      </c>
      <c r="G29" s="6" t="s">
        <v>259</v>
      </c>
      <c r="H29" s="4">
        <v>45669</v>
      </c>
    </row>
    <row r="30" spans="1:8" ht="15">
      <c r="A30" s="7">
        <v>29</v>
      </c>
      <c r="B30" s="2" t="s">
        <v>260</v>
      </c>
      <c r="C30" s="3">
        <v>59000</v>
      </c>
      <c r="D30" s="3">
        <v>9000</v>
      </c>
      <c r="E30" s="9" t="s">
        <v>15</v>
      </c>
      <c r="F30" s="4">
        <v>45667</v>
      </c>
      <c r="G30" s="6" t="s">
        <v>261</v>
      </c>
      <c r="H30" s="4">
        <v>45669</v>
      </c>
    </row>
    <row r="31" spans="1:8" ht="15">
      <c r="A31" s="7">
        <v>30</v>
      </c>
      <c r="B31" s="2" t="s">
        <v>262</v>
      </c>
      <c r="C31" s="3">
        <v>63600</v>
      </c>
      <c r="D31" s="3">
        <v>13600</v>
      </c>
      <c r="E31" s="9" t="s">
        <v>174</v>
      </c>
      <c r="F31" s="4">
        <v>45667</v>
      </c>
      <c r="G31" s="6" t="s">
        <v>263</v>
      </c>
      <c r="H31" s="4">
        <v>45669</v>
      </c>
    </row>
    <row r="32" spans="1:8" ht="15">
      <c r="A32" s="7">
        <v>31</v>
      </c>
      <c r="B32" s="2" t="s">
        <v>180</v>
      </c>
      <c r="C32" s="3">
        <v>69600</v>
      </c>
      <c r="D32" s="3">
        <v>19600</v>
      </c>
      <c r="E32" s="9" t="s">
        <v>75</v>
      </c>
      <c r="F32" s="4">
        <v>45666</v>
      </c>
      <c r="G32" s="6" t="s">
        <v>264</v>
      </c>
      <c r="H32" s="4">
        <v>45670</v>
      </c>
    </row>
    <row r="33" spans="1:8" ht="15">
      <c r="A33" s="7">
        <v>32</v>
      </c>
      <c r="B33" s="2" t="s">
        <v>265</v>
      </c>
      <c r="C33" s="3">
        <v>70000</v>
      </c>
      <c r="D33" s="3">
        <v>20000</v>
      </c>
      <c r="E33" s="9" t="s">
        <v>85</v>
      </c>
      <c r="F33" s="4">
        <v>45666</v>
      </c>
      <c r="G33" s="6" t="s">
        <v>266</v>
      </c>
      <c r="H33" s="4">
        <v>45669</v>
      </c>
    </row>
    <row r="34" spans="1:8" ht="15">
      <c r="A34" s="7">
        <v>33</v>
      </c>
      <c r="B34" s="2" t="s">
        <v>267</v>
      </c>
      <c r="C34" s="3">
        <v>55102</v>
      </c>
      <c r="D34" s="3">
        <v>5102</v>
      </c>
      <c r="E34" s="9" t="s">
        <v>162</v>
      </c>
      <c r="F34" s="4">
        <v>45665</v>
      </c>
      <c r="G34" s="6" t="s">
        <v>268</v>
      </c>
      <c r="H34" s="4">
        <v>45668</v>
      </c>
    </row>
    <row r="35" spans="1:8" ht="15">
      <c r="A35" s="7">
        <v>34</v>
      </c>
      <c r="B35" s="2" t="s">
        <v>215</v>
      </c>
      <c r="C35" s="3">
        <v>78000</v>
      </c>
      <c r="D35" s="3">
        <v>28000</v>
      </c>
      <c r="E35" s="9" t="s">
        <v>116</v>
      </c>
      <c r="F35" s="4">
        <v>45665</v>
      </c>
      <c r="G35" s="6" t="s">
        <v>269</v>
      </c>
      <c r="H35" s="4">
        <v>45668</v>
      </c>
    </row>
    <row r="36" spans="1:8" ht="15">
      <c r="A36" s="7">
        <v>35</v>
      </c>
      <c r="B36" s="2" t="s">
        <v>270</v>
      </c>
      <c r="C36" s="3">
        <v>51000</v>
      </c>
      <c r="D36" s="3">
        <v>1000</v>
      </c>
      <c r="E36" s="9" t="s">
        <v>102</v>
      </c>
      <c r="F36" s="4">
        <v>45665</v>
      </c>
      <c r="G36" s="6" t="s">
        <v>271</v>
      </c>
      <c r="H36" s="4">
        <v>45668</v>
      </c>
    </row>
    <row r="37" spans="1:8" ht="15">
      <c r="A37" s="7">
        <v>36</v>
      </c>
      <c r="B37" s="2" t="s">
        <v>214</v>
      </c>
      <c r="C37" s="3">
        <v>50000</v>
      </c>
      <c r="D37" s="3">
        <v>0</v>
      </c>
      <c r="E37" s="9" t="s">
        <v>204</v>
      </c>
      <c r="F37" s="4">
        <v>45665</v>
      </c>
      <c r="G37" s="6" t="s">
        <v>272</v>
      </c>
      <c r="H37" s="4" t="s">
        <v>144</v>
      </c>
    </row>
    <row r="38" spans="1:8" ht="15">
      <c r="A38" s="7">
        <v>37</v>
      </c>
      <c r="B38" s="2" t="s">
        <v>273</v>
      </c>
      <c r="C38" s="3">
        <v>55500</v>
      </c>
      <c r="D38" s="3">
        <v>5500</v>
      </c>
      <c r="E38" s="9" t="s">
        <v>158</v>
      </c>
      <c r="F38" s="4">
        <v>45664</v>
      </c>
      <c r="G38" s="6" t="s">
        <v>274</v>
      </c>
      <c r="H38" s="4">
        <v>45668</v>
      </c>
    </row>
    <row r="39" spans="1:8" ht="15">
      <c r="A39" s="7">
        <v>38</v>
      </c>
      <c r="B39" s="2" t="s">
        <v>245</v>
      </c>
      <c r="C39" s="3">
        <v>57250</v>
      </c>
      <c r="D39" s="3">
        <v>7250</v>
      </c>
      <c r="E39" s="9" t="s">
        <v>120</v>
      </c>
      <c r="F39" s="4">
        <v>45664</v>
      </c>
      <c r="G39" s="6" t="s">
        <v>275</v>
      </c>
      <c r="H39" s="4">
        <v>45668</v>
      </c>
    </row>
    <row r="40" spans="1:8" ht="15">
      <c r="A40" s="7">
        <v>39</v>
      </c>
      <c r="B40" s="2" t="s">
        <v>256</v>
      </c>
      <c r="C40" s="3">
        <v>68000</v>
      </c>
      <c r="D40" s="3">
        <v>18000</v>
      </c>
      <c r="E40" s="9" t="s">
        <v>115</v>
      </c>
      <c r="F40" s="4">
        <v>45664</v>
      </c>
      <c r="G40" s="6" t="s">
        <v>276</v>
      </c>
      <c r="H40" s="4">
        <v>45668</v>
      </c>
    </row>
    <row r="41" spans="1:8" ht="15">
      <c r="A41" s="7">
        <v>40</v>
      </c>
      <c r="B41" s="2" t="s">
        <v>118</v>
      </c>
      <c r="C41" s="3">
        <v>80000</v>
      </c>
      <c r="D41" s="3">
        <v>30000</v>
      </c>
      <c r="E41" s="9" t="s">
        <v>71</v>
      </c>
      <c r="F41" s="4">
        <v>45664</v>
      </c>
      <c r="G41" s="6" t="s">
        <v>277</v>
      </c>
      <c r="H41" s="4">
        <v>45667</v>
      </c>
    </row>
    <row r="42" spans="1:8" ht="15">
      <c r="A42" s="7">
        <v>41</v>
      </c>
      <c r="B42" s="2" t="s">
        <v>214</v>
      </c>
      <c r="C42" s="3">
        <v>63000</v>
      </c>
      <c r="D42" s="3">
        <v>13000</v>
      </c>
      <c r="E42" s="9" t="s">
        <v>8</v>
      </c>
      <c r="F42" s="4">
        <v>45664</v>
      </c>
      <c r="G42" s="6" t="s">
        <v>278</v>
      </c>
      <c r="H42" s="4">
        <v>45667</v>
      </c>
    </row>
    <row r="43" spans="1:8" ht="15">
      <c r="A43" s="7">
        <v>42</v>
      </c>
      <c r="B43" s="2" t="s">
        <v>181</v>
      </c>
      <c r="C43" s="3">
        <v>48000</v>
      </c>
      <c r="D43" s="3">
        <v>0</v>
      </c>
      <c r="E43" s="9" t="s">
        <v>29</v>
      </c>
      <c r="F43" s="4">
        <v>45679</v>
      </c>
      <c r="G43" s="6" t="s">
        <v>279</v>
      </c>
      <c r="H43" s="4">
        <v>45683</v>
      </c>
    </row>
    <row r="44" spans="1:8" ht="15">
      <c r="A44" s="7">
        <v>43</v>
      </c>
      <c r="B44" s="2" t="s">
        <v>280</v>
      </c>
      <c r="C44" s="3">
        <v>50000</v>
      </c>
      <c r="D44" s="3">
        <v>0</v>
      </c>
      <c r="E44" s="9" t="s">
        <v>109</v>
      </c>
      <c r="F44" s="4">
        <v>45679</v>
      </c>
      <c r="G44" s="6" t="s">
        <v>281</v>
      </c>
      <c r="H44" s="4">
        <v>45682</v>
      </c>
    </row>
    <row r="45" spans="1:8" ht="15">
      <c r="A45" s="7">
        <v>44</v>
      </c>
      <c r="B45" s="2" t="s">
        <v>181</v>
      </c>
      <c r="C45" s="3">
        <v>50000</v>
      </c>
      <c r="D45" s="3">
        <v>0</v>
      </c>
      <c r="E45" s="9" t="s">
        <v>98</v>
      </c>
      <c r="F45" s="4">
        <v>45678</v>
      </c>
      <c r="G45" s="6" t="s">
        <v>282</v>
      </c>
      <c r="H45" s="4">
        <v>45681</v>
      </c>
    </row>
    <row r="46" spans="1:8" ht="15">
      <c r="A46" s="7">
        <v>45</v>
      </c>
      <c r="B46" s="2" t="s">
        <v>283</v>
      </c>
      <c r="C46" s="3">
        <v>159000</v>
      </c>
      <c r="D46" s="3">
        <v>109000</v>
      </c>
      <c r="E46" s="9" t="s">
        <v>24</v>
      </c>
      <c r="F46" s="4">
        <v>45678</v>
      </c>
      <c r="G46" s="6" t="s">
        <v>284</v>
      </c>
      <c r="H46" s="4">
        <v>45681</v>
      </c>
    </row>
    <row r="47" spans="1:8" ht="15">
      <c r="A47" s="7">
        <v>46</v>
      </c>
      <c r="B47" s="2" t="s">
        <v>285</v>
      </c>
      <c r="C47" s="3">
        <v>55300</v>
      </c>
      <c r="D47" s="3">
        <v>5300</v>
      </c>
      <c r="E47" s="9" t="s">
        <v>189</v>
      </c>
      <c r="F47" s="4">
        <v>45678</v>
      </c>
      <c r="G47" s="6" t="s">
        <v>286</v>
      </c>
      <c r="H47" s="4">
        <v>45682</v>
      </c>
    </row>
    <row r="48" spans="1:8" ht="15">
      <c r="A48" s="7">
        <v>47</v>
      </c>
      <c r="B48" s="2" t="s">
        <v>199</v>
      </c>
      <c r="C48" s="3">
        <v>56982</v>
      </c>
      <c r="D48" s="3">
        <v>6982</v>
      </c>
      <c r="E48" s="9" t="s">
        <v>137</v>
      </c>
      <c r="F48" s="4">
        <v>45678</v>
      </c>
      <c r="G48" s="6" t="s">
        <v>287</v>
      </c>
      <c r="H48" s="4">
        <v>45681</v>
      </c>
    </row>
    <row r="49" spans="1:8" ht="15">
      <c r="A49" s="7">
        <v>48</v>
      </c>
      <c r="B49" s="2" t="s">
        <v>180</v>
      </c>
      <c r="C49" s="3">
        <v>75800</v>
      </c>
      <c r="D49" s="3">
        <v>25800</v>
      </c>
      <c r="E49" s="9" t="s">
        <v>100</v>
      </c>
      <c r="F49" s="4">
        <v>45676</v>
      </c>
      <c r="G49" s="6" t="s">
        <v>288</v>
      </c>
      <c r="H49" s="4">
        <v>45680</v>
      </c>
    </row>
    <row r="50" spans="1:8" ht="15">
      <c r="A50" s="7">
        <v>49</v>
      </c>
      <c r="B50" s="2" t="s">
        <v>289</v>
      </c>
      <c r="C50" s="3">
        <v>128650</v>
      </c>
      <c r="D50" s="3">
        <v>83650</v>
      </c>
      <c r="E50" s="9" t="s">
        <v>139</v>
      </c>
      <c r="F50" s="4">
        <v>45676</v>
      </c>
      <c r="G50" s="6" t="s">
        <v>290</v>
      </c>
      <c r="H50" s="4">
        <v>45679</v>
      </c>
    </row>
    <row r="51" spans="1:8" ht="15">
      <c r="A51" s="7">
        <v>50</v>
      </c>
      <c r="B51" s="2" t="s">
        <v>199</v>
      </c>
      <c r="C51" s="3">
        <v>76500</v>
      </c>
      <c r="D51" s="3">
        <v>26500</v>
      </c>
      <c r="E51" s="9" t="s">
        <v>148</v>
      </c>
      <c r="F51" s="4">
        <v>45676</v>
      </c>
      <c r="G51" s="6" t="s">
        <v>291</v>
      </c>
      <c r="H51" s="4">
        <v>45680</v>
      </c>
    </row>
    <row r="52" spans="1:8" ht="15">
      <c r="A52" s="7">
        <v>51</v>
      </c>
      <c r="B52" s="2" t="s">
        <v>292</v>
      </c>
      <c r="C52" s="3">
        <v>57833</v>
      </c>
      <c r="D52" s="3">
        <v>7883</v>
      </c>
      <c r="E52" s="9" t="s">
        <v>201</v>
      </c>
      <c r="F52" s="4">
        <v>45676</v>
      </c>
      <c r="G52" s="6" t="s">
        <v>293</v>
      </c>
      <c r="H52" s="4">
        <v>45680</v>
      </c>
    </row>
    <row r="53" spans="1:8" ht="15">
      <c r="A53" s="7">
        <v>52</v>
      </c>
      <c r="B53" s="2" t="s">
        <v>140</v>
      </c>
      <c r="C53" s="3">
        <v>60000</v>
      </c>
      <c r="D53" s="3">
        <v>10000</v>
      </c>
      <c r="E53" s="9" t="s">
        <v>49</v>
      </c>
      <c r="F53" s="4">
        <v>45675</v>
      </c>
      <c r="G53" s="6" t="s">
        <v>294</v>
      </c>
      <c r="H53" s="4">
        <v>45678</v>
      </c>
    </row>
    <row r="54" spans="1:8" ht="15">
      <c r="A54" s="7">
        <v>53</v>
      </c>
      <c r="B54" s="2" t="s">
        <v>140</v>
      </c>
      <c r="C54" s="3">
        <v>54000</v>
      </c>
      <c r="D54" s="3">
        <v>4000</v>
      </c>
      <c r="E54" s="9" t="s">
        <v>202</v>
      </c>
      <c r="F54" s="4">
        <v>45674</v>
      </c>
      <c r="G54" s="6" t="s">
        <v>295</v>
      </c>
      <c r="H54" s="4">
        <v>45677</v>
      </c>
    </row>
    <row r="55" spans="1:8" ht="15">
      <c r="A55" s="7">
        <v>54</v>
      </c>
      <c r="B55" s="2" t="s">
        <v>296</v>
      </c>
      <c r="C55" s="3">
        <v>59000</v>
      </c>
      <c r="D55" s="3">
        <v>9000</v>
      </c>
      <c r="E55" s="9" t="s">
        <v>297</v>
      </c>
      <c r="F55" s="4">
        <v>45674</v>
      </c>
      <c r="G55" s="6" t="s">
        <v>298</v>
      </c>
      <c r="H55" s="4">
        <v>45677</v>
      </c>
    </row>
    <row r="56" spans="1:8" ht="15">
      <c r="A56" s="7">
        <v>55</v>
      </c>
      <c r="B56" s="2" t="s">
        <v>299</v>
      </c>
      <c r="C56" s="3">
        <v>51000</v>
      </c>
      <c r="D56" s="3">
        <v>1000</v>
      </c>
      <c r="E56" s="9" t="s">
        <v>141</v>
      </c>
      <c r="F56" s="4">
        <v>45674</v>
      </c>
      <c r="G56" s="6" t="s">
        <v>300</v>
      </c>
      <c r="H56" s="4">
        <v>45676</v>
      </c>
    </row>
    <row r="57" spans="1:8" ht="15">
      <c r="A57" s="7">
        <v>56</v>
      </c>
      <c r="B57" s="2" t="s">
        <v>199</v>
      </c>
      <c r="C57" s="3">
        <v>57600</v>
      </c>
      <c r="D57" s="3">
        <v>7600</v>
      </c>
      <c r="E57" s="9" t="s">
        <v>73</v>
      </c>
      <c r="F57" s="4">
        <v>45673</v>
      </c>
      <c r="G57" s="6" t="s">
        <v>301</v>
      </c>
      <c r="H57" s="4">
        <v>45676</v>
      </c>
    </row>
    <row r="58" spans="1:8" ht="15">
      <c r="A58" s="7">
        <v>57</v>
      </c>
      <c r="B58" s="2" t="s">
        <v>302</v>
      </c>
      <c r="C58" s="3">
        <v>52500</v>
      </c>
      <c r="D58" s="3">
        <v>2500</v>
      </c>
      <c r="E58" s="9" t="s">
        <v>27</v>
      </c>
      <c r="F58" s="4">
        <v>45673</v>
      </c>
      <c r="G58" s="6" t="s">
        <v>303</v>
      </c>
      <c r="H58" s="4">
        <v>45676</v>
      </c>
    </row>
    <row r="59" spans="1:8" ht="15">
      <c r="A59" s="7">
        <v>58</v>
      </c>
      <c r="B59" s="2" t="s">
        <v>304</v>
      </c>
      <c r="C59" s="3">
        <v>55000</v>
      </c>
      <c r="D59" s="3">
        <v>5000</v>
      </c>
      <c r="E59" s="9" t="s">
        <v>163</v>
      </c>
      <c r="F59" s="4">
        <v>45673</v>
      </c>
      <c r="G59" s="6" t="s">
        <v>305</v>
      </c>
      <c r="H59" s="4">
        <v>45677</v>
      </c>
    </row>
    <row r="60" spans="1:8" ht="15">
      <c r="A60" s="7">
        <v>59</v>
      </c>
      <c r="B60" s="2" t="s">
        <v>199</v>
      </c>
      <c r="C60" s="3">
        <v>54320</v>
      </c>
      <c r="D60" s="3">
        <v>4320</v>
      </c>
      <c r="E60" s="9" t="s">
        <v>100</v>
      </c>
      <c r="F60" s="4">
        <v>45673</v>
      </c>
      <c r="G60" s="6" t="s">
        <v>306</v>
      </c>
      <c r="H60" s="4">
        <v>45676</v>
      </c>
    </row>
    <row r="61" spans="1:8" ht="15">
      <c r="A61" s="7">
        <v>60</v>
      </c>
      <c r="B61" s="2" t="s">
        <v>307</v>
      </c>
      <c r="C61" s="3">
        <v>51000</v>
      </c>
      <c r="D61" s="3">
        <v>1000</v>
      </c>
      <c r="E61" s="9" t="s">
        <v>308</v>
      </c>
      <c r="F61" s="4">
        <v>45673</v>
      </c>
      <c r="G61" s="6" t="s">
        <v>309</v>
      </c>
      <c r="H61" s="4">
        <v>45676</v>
      </c>
    </row>
    <row r="62" spans="1:8" ht="15">
      <c r="A62" s="7">
        <v>61</v>
      </c>
      <c r="B62" s="2" t="s">
        <v>200</v>
      </c>
      <c r="C62" s="3">
        <v>79000</v>
      </c>
      <c r="D62" s="3">
        <v>29000</v>
      </c>
      <c r="E62" s="9" t="s">
        <v>91</v>
      </c>
      <c r="F62" s="4">
        <v>45672</v>
      </c>
      <c r="G62" s="6" t="s">
        <v>310</v>
      </c>
      <c r="H62" s="4">
        <v>45674</v>
      </c>
    </row>
    <row r="63" spans="1:8" ht="15">
      <c r="A63" s="7">
        <v>62</v>
      </c>
      <c r="B63" s="2" t="s">
        <v>311</v>
      </c>
      <c r="C63" s="3">
        <v>69025</v>
      </c>
      <c r="D63" s="3">
        <v>19025</v>
      </c>
      <c r="E63" s="9" t="s">
        <v>20</v>
      </c>
      <c r="F63" s="4">
        <v>45672</v>
      </c>
      <c r="G63" s="6" t="s">
        <v>312</v>
      </c>
      <c r="H63" s="4">
        <v>45676</v>
      </c>
    </row>
    <row r="64" spans="1:8" ht="15">
      <c r="A64" s="7">
        <v>63</v>
      </c>
      <c r="B64" s="2" t="s">
        <v>313</v>
      </c>
      <c r="C64" s="3">
        <v>58000</v>
      </c>
      <c r="D64" s="3">
        <v>8000</v>
      </c>
      <c r="E64" s="9" t="s">
        <v>206</v>
      </c>
      <c r="F64" s="4">
        <v>45672</v>
      </c>
      <c r="G64" s="6" t="s">
        <v>314</v>
      </c>
      <c r="H64" s="4">
        <v>45674</v>
      </c>
    </row>
    <row r="65" spans="1:8" ht="15">
      <c r="A65" s="7">
        <v>64</v>
      </c>
      <c r="B65" s="2" t="s">
        <v>196</v>
      </c>
      <c r="C65" s="3">
        <v>63000</v>
      </c>
      <c r="D65" s="3">
        <v>13000</v>
      </c>
      <c r="E65" s="9" t="s">
        <v>24</v>
      </c>
      <c r="F65" s="4">
        <v>45693</v>
      </c>
      <c r="G65" s="6" t="s">
        <v>315</v>
      </c>
      <c r="H65" s="4">
        <v>45695</v>
      </c>
    </row>
    <row r="66" spans="1:8" ht="15">
      <c r="A66" s="7">
        <v>65</v>
      </c>
      <c r="B66" s="2" t="s">
        <v>316</v>
      </c>
      <c r="C66" s="3">
        <v>58836</v>
      </c>
      <c r="D66" s="3">
        <v>8836</v>
      </c>
      <c r="E66" s="9" t="s">
        <v>209</v>
      </c>
      <c r="F66" s="4">
        <v>45692</v>
      </c>
      <c r="G66" s="6" t="s">
        <v>317</v>
      </c>
      <c r="H66" s="4">
        <v>45695</v>
      </c>
    </row>
    <row r="67" spans="1:8" ht="15">
      <c r="A67" s="7">
        <v>66</v>
      </c>
      <c r="B67" s="2" t="s">
        <v>232</v>
      </c>
      <c r="C67" s="3">
        <v>88000</v>
      </c>
      <c r="D67" s="3">
        <v>38000</v>
      </c>
      <c r="E67" s="9" t="s">
        <v>69</v>
      </c>
      <c r="F67" s="4">
        <v>45691</v>
      </c>
      <c r="G67" s="6" t="s">
        <v>318</v>
      </c>
      <c r="H67" s="4">
        <v>45696</v>
      </c>
    </row>
    <row r="68" spans="1:8" ht="15">
      <c r="A68" s="7">
        <v>67</v>
      </c>
      <c r="B68" s="2" t="s">
        <v>59</v>
      </c>
      <c r="C68" s="3">
        <v>74000</v>
      </c>
      <c r="D68" s="3">
        <v>24000</v>
      </c>
      <c r="E68" s="9" t="s">
        <v>122</v>
      </c>
      <c r="F68" s="4">
        <v>45691</v>
      </c>
      <c r="G68" s="6" t="s">
        <v>319</v>
      </c>
      <c r="H68" s="4">
        <v>45694</v>
      </c>
    </row>
    <row r="69" spans="1:8" ht="15">
      <c r="A69" s="7">
        <v>68</v>
      </c>
      <c r="B69" s="2" t="s">
        <v>232</v>
      </c>
      <c r="C69" s="3">
        <v>81500</v>
      </c>
      <c r="D69" s="3">
        <v>31500</v>
      </c>
      <c r="E69" s="9" t="s">
        <v>46</v>
      </c>
      <c r="F69" s="4">
        <v>45691</v>
      </c>
      <c r="G69" s="6" t="s">
        <v>320</v>
      </c>
      <c r="H69" s="4">
        <v>45696</v>
      </c>
    </row>
    <row r="70" spans="1:8" ht="15">
      <c r="A70" s="7">
        <v>69</v>
      </c>
      <c r="B70" s="2" t="s">
        <v>321</v>
      </c>
      <c r="C70" s="3">
        <v>50000</v>
      </c>
      <c r="D70" s="3">
        <v>0</v>
      </c>
      <c r="E70" s="9" t="s">
        <v>8</v>
      </c>
      <c r="F70" s="4">
        <v>45691</v>
      </c>
      <c r="G70" s="6" t="s">
        <v>322</v>
      </c>
      <c r="H70" s="4">
        <v>45695</v>
      </c>
    </row>
    <row r="71" spans="1:8" ht="15">
      <c r="A71" s="7">
        <v>70</v>
      </c>
      <c r="B71" s="2" t="s">
        <v>59</v>
      </c>
      <c r="C71" s="3">
        <v>50000</v>
      </c>
      <c r="D71" s="3">
        <v>0</v>
      </c>
      <c r="E71" s="9" t="s">
        <v>125</v>
      </c>
      <c r="F71" s="4">
        <v>45691</v>
      </c>
      <c r="G71" s="6" t="s">
        <v>323</v>
      </c>
      <c r="H71" s="4">
        <v>45694</v>
      </c>
    </row>
    <row r="72" spans="1:8" ht="15">
      <c r="A72" s="7">
        <v>71</v>
      </c>
      <c r="B72" s="2" t="s">
        <v>324</v>
      </c>
      <c r="C72" s="3">
        <v>59500</v>
      </c>
      <c r="D72" s="3">
        <v>9500</v>
      </c>
      <c r="E72" s="9" t="s">
        <v>17</v>
      </c>
      <c r="F72" s="4">
        <v>45691</v>
      </c>
      <c r="G72" s="6" t="s">
        <v>325</v>
      </c>
      <c r="H72" s="4">
        <v>45698</v>
      </c>
    </row>
    <row r="73" spans="1:8" ht="15">
      <c r="A73" s="7">
        <v>72</v>
      </c>
      <c r="B73" s="2" t="s">
        <v>326</v>
      </c>
      <c r="C73" s="3">
        <v>60000</v>
      </c>
      <c r="D73" s="3">
        <v>10000</v>
      </c>
      <c r="E73" s="9" t="s">
        <v>188</v>
      </c>
      <c r="F73" s="4">
        <v>45690</v>
      </c>
      <c r="G73" s="6" t="s">
        <v>327</v>
      </c>
      <c r="H73" s="4">
        <v>45695</v>
      </c>
    </row>
    <row r="74" spans="1:8" ht="15">
      <c r="A74" s="7">
        <v>73</v>
      </c>
      <c r="B74" s="2" t="s">
        <v>316</v>
      </c>
      <c r="C74" s="3">
        <v>56000</v>
      </c>
      <c r="D74" s="3">
        <v>6000</v>
      </c>
      <c r="E74" s="9" t="s">
        <v>182</v>
      </c>
      <c r="F74" s="4">
        <v>45680</v>
      </c>
      <c r="G74" s="6" t="s">
        <v>328</v>
      </c>
      <c r="H74" s="4">
        <v>45689</v>
      </c>
    </row>
    <row r="75" spans="1:8" ht="15">
      <c r="A75" s="7">
        <v>74</v>
      </c>
      <c r="B75" s="2" t="s">
        <v>181</v>
      </c>
      <c r="C75" s="3">
        <v>55600</v>
      </c>
      <c r="D75" s="3">
        <v>5600</v>
      </c>
      <c r="E75" s="9" t="s">
        <v>167</v>
      </c>
      <c r="F75" s="4">
        <v>45680</v>
      </c>
      <c r="G75" s="6" t="s">
        <v>329</v>
      </c>
      <c r="H75" s="4">
        <v>45689</v>
      </c>
    </row>
    <row r="76" spans="1:8" ht="15">
      <c r="A76" s="7">
        <v>75</v>
      </c>
      <c r="B76" s="2" t="s">
        <v>165</v>
      </c>
      <c r="C76" s="3">
        <v>63000</v>
      </c>
      <c r="D76" s="3">
        <v>13000</v>
      </c>
      <c r="E76" s="9" t="s">
        <v>101</v>
      </c>
      <c r="F76" s="4">
        <v>45693</v>
      </c>
      <c r="G76" s="6" t="s">
        <v>330</v>
      </c>
      <c r="H76" s="4">
        <v>45697</v>
      </c>
    </row>
    <row r="77" spans="1:8" ht="15">
      <c r="A77" s="7">
        <v>76</v>
      </c>
      <c r="B77" s="2" t="s">
        <v>165</v>
      </c>
      <c r="C77" s="3">
        <v>63599</v>
      </c>
      <c r="D77" s="3">
        <v>13599</v>
      </c>
      <c r="E77" s="9" t="s">
        <v>120</v>
      </c>
      <c r="F77" s="4">
        <v>45692</v>
      </c>
      <c r="G77" s="6" t="s">
        <v>331</v>
      </c>
      <c r="H77" s="4">
        <v>45696</v>
      </c>
    </row>
    <row r="78" spans="1:8" ht="15">
      <c r="A78" s="7">
        <v>77</v>
      </c>
      <c r="B78" s="2" t="s">
        <v>59</v>
      </c>
      <c r="C78" s="3">
        <v>74000</v>
      </c>
      <c r="D78" s="3">
        <v>24000</v>
      </c>
      <c r="E78" s="9" t="s">
        <v>51</v>
      </c>
      <c r="F78" s="4">
        <v>45692</v>
      </c>
      <c r="G78" s="6" t="s">
        <v>332</v>
      </c>
      <c r="H78" s="4">
        <v>45696</v>
      </c>
    </row>
    <row r="79" spans="1:8" ht="15">
      <c r="A79" s="7">
        <v>78</v>
      </c>
      <c r="B79" s="2" t="s">
        <v>316</v>
      </c>
      <c r="C79" s="3">
        <v>53900</v>
      </c>
      <c r="D79" s="3">
        <v>3900</v>
      </c>
      <c r="E79" s="9" t="s">
        <v>104</v>
      </c>
      <c r="F79" s="4">
        <v>45694</v>
      </c>
      <c r="G79" s="6" t="s">
        <v>333</v>
      </c>
      <c r="H79" s="4">
        <v>45697</v>
      </c>
    </row>
    <row r="80" spans="1:8" ht="15">
      <c r="A80" s="7">
        <v>79</v>
      </c>
      <c r="B80" s="2" t="s">
        <v>59</v>
      </c>
      <c r="C80" s="3">
        <v>67000</v>
      </c>
      <c r="D80" s="3">
        <v>17000</v>
      </c>
      <c r="E80" s="9" t="s">
        <v>22</v>
      </c>
      <c r="F80" s="4">
        <v>45694</v>
      </c>
      <c r="G80" s="6" t="s">
        <v>334</v>
      </c>
      <c r="H80" s="4">
        <v>45697</v>
      </c>
    </row>
    <row r="81" spans="1:8" ht="15">
      <c r="A81" s="7">
        <v>80</v>
      </c>
      <c r="B81" s="2" t="s">
        <v>335</v>
      </c>
      <c r="C81" s="3">
        <v>92000</v>
      </c>
      <c r="D81" s="3">
        <v>42000</v>
      </c>
      <c r="E81" s="9" t="s">
        <v>102</v>
      </c>
      <c r="F81" s="4">
        <v>45695</v>
      </c>
      <c r="G81" s="6" t="s">
        <v>336</v>
      </c>
      <c r="H81" s="4">
        <v>45697</v>
      </c>
    </row>
    <row r="82" spans="1:8" ht="15">
      <c r="A82" s="7">
        <v>81</v>
      </c>
      <c r="B82" s="2" t="s">
        <v>316</v>
      </c>
      <c r="C82" s="3">
        <v>100000</v>
      </c>
      <c r="D82" s="3">
        <v>50000</v>
      </c>
      <c r="E82" s="9" t="s">
        <v>124</v>
      </c>
      <c r="F82" s="4">
        <v>45695</v>
      </c>
      <c r="G82" s="6" t="s">
        <v>337</v>
      </c>
      <c r="H82" s="4">
        <v>45697</v>
      </c>
    </row>
    <row r="83" spans="1:8" ht="15">
      <c r="A83" s="7">
        <v>82</v>
      </c>
      <c r="B83" s="2" t="s">
        <v>207</v>
      </c>
      <c r="C83" s="3">
        <v>50000</v>
      </c>
      <c r="D83" s="3">
        <v>0</v>
      </c>
      <c r="E83" s="9" t="s">
        <v>98</v>
      </c>
      <c r="F83" s="4">
        <v>45694</v>
      </c>
      <c r="G83" s="6" t="s">
        <v>338</v>
      </c>
      <c r="H83" s="4">
        <v>45696</v>
      </c>
    </row>
    <row r="84" spans="1:8" ht="15">
      <c r="A84" s="7">
        <v>83</v>
      </c>
      <c r="B84" s="2" t="s">
        <v>140</v>
      </c>
      <c r="C84" s="3">
        <v>85000</v>
      </c>
      <c r="D84" s="3">
        <v>35000</v>
      </c>
      <c r="E84" s="9" t="s">
        <v>29</v>
      </c>
      <c r="F84" s="4">
        <v>45694</v>
      </c>
      <c r="G84" s="6" t="s">
        <v>339</v>
      </c>
      <c r="H84" s="4">
        <v>45696</v>
      </c>
    </row>
    <row r="85" spans="1:8" ht="15">
      <c r="A85" s="7">
        <v>84</v>
      </c>
      <c r="B85" s="2" t="s">
        <v>136</v>
      </c>
      <c r="C85" s="3">
        <v>50000</v>
      </c>
      <c r="D85" s="3">
        <v>0</v>
      </c>
      <c r="E85" s="9" t="s">
        <v>8</v>
      </c>
      <c r="F85" s="4">
        <v>45695</v>
      </c>
      <c r="G85" s="6" t="s">
        <v>340</v>
      </c>
      <c r="H85" s="4">
        <v>45698</v>
      </c>
    </row>
    <row r="86" spans="1:8" ht="15">
      <c r="A86" s="7">
        <v>85</v>
      </c>
      <c r="B86" s="2" t="s">
        <v>341</v>
      </c>
      <c r="C86" s="3">
        <v>50000</v>
      </c>
      <c r="D86" s="3">
        <v>0</v>
      </c>
      <c r="E86" s="9" t="s">
        <v>44</v>
      </c>
      <c r="F86" s="4">
        <v>45695</v>
      </c>
      <c r="G86" s="6" t="s">
        <v>342</v>
      </c>
      <c r="H86" s="4">
        <v>45699</v>
      </c>
    </row>
    <row r="87" spans="1:8" ht="15">
      <c r="A87" s="7">
        <v>86</v>
      </c>
      <c r="B87" s="2" t="s">
        <v>165</v>
      </c>
      <c r="C87" s="3">
        <v>62500</v>
      </c>
      <c r="D87" s="3">
        <v>12500</v>
      </c>
      <c r="E87" s="9" t="s">
        <v>145</v>
      </c>
      <c r="F87" s="4">
        <v>45696</v>
      </c>
      <c r="G87" s="6" t="s">
        <v>343</v>
      </c>
      <c r="H87" s="4">
        <v>45700</v>
      </c>
    </row>
    <row r="88" spans="1:8" ht="15">
      <c r="A88" s="7">
        <v>87</v>
      </c>
      <c r="B88" s="2" t="s">
        <v>344</v>
      </c>
      <c r="C88" s="3">
        <v>68992</v>
      </c>
      <c r="D88" s="3">
        <v>18992</v>
      </c>
      <c r="E88" s="9" t="s">
        <v>147</v>
      </c>
      <c r="F88" s="4">
        <v>45696</v>
      </c>
      <c r="G88" s="6" t="s">
        <v>345</v>
      </c>
      <c r="H88" s="4">
        <v>45701</v>
      </c>
    </row>
    <row r="89" spans="1:8" ht="15">
      <c r="A89" s="7">
        <v>88</v>
      </c>
      <c r="B89" s="2" t="s">
        <v>346</v>
      </c>
      <c r="C89" s="3">
        <v>60600</v>
      </c>
      <c r="D89" s="3">
        <v>10600</v>
      </c>
      <c r="E89" s="9" t="s">
        <v>15</v>
      </c>
      <c r="F89" s="4">
        <v>45696</v>
      </c>
      <c r="G89" s="6" t="s">
        <v>347</v>
      </c>
      <c r="H89" s="4">
        <v>45700</v>
      </c>
    </row>
    <row r="90" spans="1:8" ht="15">
      <c r="A90" s="7">
        <v>89</v>
      </c>
      <c r="B90" s="2" t="s">
        <v>316</v>
      </c>
      <c r="C90" s="3">
        <v>58836</v>
      </c>
      <c r="D90" s="3">
        <v>8836</v>
      </c>
      <c r="E90" s="9" t="s">
        <v>348</v>
      </c>
      <c r="F90" s="4">
        <v>45697</v>
      </c>
      <c r="G90" s="6" t="s">
        <v>349</v>
      </c>
      <c r="H90" s="4">
        <v>45700</v>
      </c>
    </row>
    <row r="91" spans="1:8" ht="15">
      <c r="A91" s="7">
        <v>90</v>
      </c>
      <c r="B91" s="2" t="s">
        <v>136</v>
      </c>
      <c r="C91" s="3">
        <v>50200</v>
      </c>
      <c r="D91" s="3">
        <v>200</v>
      </c>
      <c r="E91" s="9" t="s">
        <v>112</v>
      </c>
      <c r="F91" s="4">
        <v>45697</v>
      </c>
      <c r="G91" s="6" t="s">
        <v>350</v>
      </c>
      <c r="H91" s="4">
        <v>45701</v>
      </c>
    </row>
    <row r="92" spans="1:8" ht="15">
      <c r="A92" s="7">
        <v>91</v>
      </c>
      <c r="B92" s="2" t="s">
        <v>59</v>
      </c>
      <c r="C92" s="3">
        <v>69000</v>
      </c>
      <c r="D92" s="3">
        <v>19000</v>
      </c>
      <c r="E92" s="9" t="s">
        <v>169</v>
      </c>
      <c r="F92" s="4">
        <v>45697</v>
      </c>
      <c r="G92" s="6" t="s">
        <v>351</v>
      </c>
      <c r="H92" s="4">
        <v>45700</v>
      </c>
    </row>
    <row r="93" spans="1:8" ht="15">
      <c r="A93" s="7">
        <v>92</v>
      </c>
      <c r="B93" s="2" t="s">
        <v>103</v>
      </c>
      <c r="C93" s="3">
        <v>63500</v>
      </c>
      <c r="D93" s="3">
        <v>13500</v>
      </c>
      <c r="E93" s="9" t="s">
        <v>11</v>
      </c>
      <c r="F93" s="4">
        <v>45697</v>
      </c>
      <c r="G93" s="6" t="s">
        <v>352</v>
      </c>
      <c r="H93" s="4">
        <v>45700</v>
      </c>
    </row>
    <row r="94" spans="1:8" ht="15">
      <c r="A94" s="7">
        <v>93</v>
      </c>
      <c r="B94" s="2" t="s">
        <v>65</v>
      </c>
      <c r="C94" s="3">
        <v>50000</v>
      </c>
      <c r="D94" s="3">
        <v>0</v>
      </c>
      <c r="E94" s="9" t="s">
        <v>77</v>
      </c>
      <c r="F94" s="4">
        <v>45697</v>
      </c>
      <c r="G94" s="6" t="s">
        <v>353</v>
      </c>
      <c r="H94" s="4">
        <v>45699</v>
      </c>
    </row>
    <row r="95" spans="1:8" ht="15">
      <c r="A95" s="7">
        <v>94</v>
      </c>
      <c r="B95" s="2" t="s">
        <v>316</v>
      </c>
      <c r="C95" s="3">
        <v>57806</v>
      </c>
      <c r="D95" s="3">
        <v>7806</v>
      </c>
      <c r="E95" s="9" t="s">
        <v>83</v>
      </c>
      <c r="F95" s="4">
        <v>45697</v>
      </c>
      <c r="G95" s="6" t="s">
        <v>354</v>
      </c>
      <c r="H95" s="4">
        <v>45699</v>
      </c>
    </row>
    <row r="96" spans="1:8" ht="15">
      <c r="A96" s="7">
        <v>95</v>
      </c>
      <c r="B96" s="2" t="s">
        <v>355</v>
      </c>
      <c r="C96" s="3">
        <v>50000</v>
      </c>
      <c r="D96" s="3">
        <v>0</v>
      </c>
      <c r="E96" s="9" t="s">
        <v>131</v>
      </c>
      <c r="F96" s="4">
        <v>45698</v>
      </c>
      <c r="G96" s="6" t="s">
        <v>356</v>
      </c>
      <c r="H96" s="4">
        <v>45700</v>
      </c>
    </row>
    <row r="97" spans="1:8" ht="15">
      <c r="A97" s="7">
        <v>96</v>
      </c>
      <c r="B97" s="2" t="s">
        <v>136</v>
      </c>
      <c r="C97" s="3">
        <v>50000</v>
      </c>
      <c r="D97" s="3">
        <v>0</v>
      </c>
      <c r="E97" s="9" t="s">
        <v>8</v>
      </c>
      <c r="F97" s="4">
        <v>45697</v>
      </c>
      <c r="G97" s="6" t="s">
        <v>357</v>
      </c>
      <c r="H97" s="4">
        <v>45702</v>
      </c>
    </row>
    <row r="98" spans="1:8" ht="15">
      <c r="A98" s="7">
        <v>97</v>
      </c>
      <c r="B98" s="2" t="s">
        <v>218</v>
      </c>
      <c r="C98" s="3">
        <v>52000</v>
      </c>
      <c r="D98" s="3">
        <v>2000</v>
      </c>
      <c r="E98" s="9" t="s">
        <v>162</v>
      </c>
      <c r="F98" s="4">
        <v>45698</v>
      </c>
      <c r="G98" s="6" t="s">
        <v>358</v>
      </c>
      <c r="H98" s="4">
        <v>45700</v>
      </c>
    </row>
    <row r="99" spans="1:8" ht="15">
      <c r="A99" s="7">
        <v>98</v>
      </c>
      <c r="B99" s="2" t="s">
        <v>136</v>
      </c>
      <c r="C99" s="3">
        <v>48000</v>
      </c>
      <c r="D99" s="3">
        <v>0</v>
      </c>
      <c r="E99" s="9" t="s">
        <v>8</v>
      </c>
      <c r="F99" s="4">
        <v>45697</v>
      </c>
      <c r="G99" s="6" t="s">
        <v>359</v>
      </c>
      <c r="H99" s="4">
        <v>45699</v>
      </c>
    </row>
    <row r="100" spans="1:8" ht="15">
      <c r="A100" s="7">
        <v>99</v>
      </c>
      <c r="B100" s="2" t="s">
        <v>360</v>
      </c>
      <c r="C100" s="3">
        <v>59100</v>
      </c>
      <c r="D100" s="3">
        <v>9100</v>
      </c>
      <c r="E100" s="9" t="s">
        <v>175</v>
      </c>
      <c r="F100" s="4">
        <v>45699</v>
      </c>
      <c r="G100" s="6" t="s">
        <v>361</v>
      </c>
      <c r="H100" s="4">
        <v>45702</v>
      </c>
    </row>
    <row r="101" spans="1:8" ht="15">
      <c r="A101" s="7">
        <v>100</v>
      </c>
      <c r="B101" s="2" t="s">
        <v>198</v>
      </c>
      <c r="C101" s="3">
        <v>49500</v>
      </c>
      <c r="D101" s="3">
        <v>0</v>
      </c>
      <c r="E101" s="9" t="s">
        <v>186</v>
      </c>
      <c r="F101" s="4">
        <v>45698</v>
      </c>
      <c r="G101" s="6" t="s">
        <v>362</v>
      </c>
      <c r="H101" s="4">
        <v>45702</v>
      </c>
    </row>
    <row r="102" spans="1:8" ht="15">
      <c r="A102" s="7">
        <v>101</v>
      </c>
      <c r="B102" s="2" t="s">
        <v>39</v>
      </c>
      <c r="C102" s="3">
        <v>59963</v>
      </c>
      <c r="D102" s="3">
        <v>9963</v>
      </c>
      <c r="E102" s="9" t="s">
        <v>52</v>
      </c>
      <c r="F102" s="4">
        <v>45698</v>
      </c>
      <c r="G102" s="6" t="s">
        <v>363</v>
      </c>
      <c r="H102" s="4">
        <v>45701</v>
      </c>
    </row>
    <row r="103" spans="1:8" ht="15">
      <c r="A103" s="7">
        <v>102</v>
      </c>
      <c r="B103" s="2" t="s">
        <v>103</v>
      </c>
      <c r="C103" s="3">
        <v>62900</v>
      </c>
      <c r="D103" s="3">
        <v>12900</v>
      </c>
      <c r="E103" s="9" t="s">
        <v>8</v>
      </c>
      <c r="F103" s="4">
        <v>45699</v>
      </c>
      <c r="G103" s="6" t="s">
        <v>364</v>
      </c>
      <c r="H103" s="4" t="s">
        <v>365</v>
      </c>
    </row>
    <row r="104" spans="1:8" ht="15">
      <c r="A104" s="7">
        <v>103</v>
      </c>
      <c r="B104" s="2" t="s">
        <v>366</v>
      </c>
      <c r="C104" s="3">
        <v>56100</v>
      </c>
      <c r="D104" s="3">
        <v>6100</v>
      </c>
      <c r="E104" s="9" t="s">
        <v>137</v>
      </c>
      <c r="F104" s="4">
        <v>45699</v>
      </c>
      <c r="G104" s="6" t="s">
        <v>367</v>
      </c>
      <c r="H104" s="4">
        <v>45702</v>
      </c>
    </row>
    <row r="105" spans="1:8" ht="15">
      <c r="A105" s="7">
        <v>104</v>
      </c>
      <c r="B105" s="2" t="s">
        <v>140</v>
      </c>
      <c r="C105" s="3">
        <v>90000</v>
      </c>
      <c r="D105" s="3">
        <v>40000</v>
      </c>
      <c r="E105" s="9" t="s">
        <v>141</v>
      </c>
      <c r="F105" s="4">
        <v>45699</v>
      </c>
      <c r="G105" s="6" t="s">
        <v>368</v>
      </c>
      <c r="H105" s="4">
        <v>45701</v>
      </c>
    </row>
    <row r="106" spans="1:8" ht="15">
      <c r="A106" s="7">
        <v>105</v>
      </c>
      <c r="B106" s="2" t="s">
        <v>217</v>
      </c>
      <c r="C106" s="3">
        <v>53200</v>
      </c>
      <c r="D106" s="3">
        <v>3200</v>
      </c>
      <c r="E106" s="9" t="s">
        <v>120</v>
      </c>
      <c r="F106" s="4">
        <v>45699</v>
      </c>
      <c r="G106" s="6" t="s">
        <v>369</v>
      </c>
      <c r="H106" s="4">
        <v>45702</v>
      </c>
    </row>
    <row r="107" spans="1:8" ht="15">
      <c r="A107" s="7">
        <v>106</v>
      </c>
      <c r="B107" s="2" t="s">
        <v>217</v>
      </c>
      <c r="C107" s="3">
        <v>58836</v>
      </c>
      <c r="D107" s="3">
        <v>8836</v>
      </c>
      <c r="E107" s="9" t="s">
        <v>44</v>
      </c>
      <c r="F107" s="4">
        <v>45699</v>
      </c>
      <c r="G107" s="6" t="s">
        <v>370</v>
      </c>
      <c r="H107" s="4">
        <v>45702</v>
      </c>
    </row>
    <row r="108" spans="1:8" ht="15">
      <c r="A108" s="7">
        <v>107</v>
      </c>
      <c r="B108" s="2" t="s">
        <v>165</v>
      </c>
      <c r="C108" s="3">
        <v>62500</v>
      </c>
      <c r="D108" s="3">
        <v>12500</v>
      </c>
      <c r="E108" s="9" t="s">
        <v>51</v>
      </c>
      <c r="F108" s="4">
        <v>45700</v>
      </c>
      <c r="G108" s="6" t="s">
        <v>371</v>
      </c>
      <c r="H108" s="4">
        <v>45703</v>
      </c>
    </row>
    <row r="109" spans="1:8" ht="15">
      <c r="A109" s="7">
        <v>108</v>
      </c>
      <c r="B109" s="2" t="s">
        <v>372</v>
      </c>
      <c r="C109" s="3">
        <v>65000</v>
      </c>
      <c r="D109" s="3">
        <v>15000</v>
      </c>
      <c r="E109" s="9" t="s">
        <v>20</v>
      </c>
      <c r="F109" s="4">
        <v>45700</v>
      </c>
      <c r="G109" s="6" t="s">
        <v>373</v>
      </c>
      <c r="H109" s="4">
        <v>45703</v>
      </c>
    </row>
    <row r="110" spans="1:8" ht="15">
      <c r="A110" s="7">
        <v>109</v>
      </c>
      <c r="B110" s="2" t="s">
        <v>179</v>
      </c>
      <c r="C110" s="3">
        <v>71000</v>
      </c>
      <c r="D110" s="3">
        <v>21000</v>
      </c>
      <c r="E110" s="9" t="s">
        <v>374</v>
      </c>
      <c r="F110" s="4">
        <v>45700</v>
      </c>
      <c r="G110" s="6" t="s">
        <v>375</v>
      </c>
      <c r="H110" s="4">
        <v>45704</v>
      </c>
    </row>
    <row r="111" spans="1:8" ht="15">
      <c r="A111" s="7">
        <v>110</v>
      </c>
      <c r="B111" s="2" t="s">
        <v>59</v>
      </c>
      <c r="C111" s="3">
        <v>69000</v>
      </c>
      <c r="D111" s="3">
        <v>19000</v>
      </c>
      <c r="E111" s="9" t="s">
        <v>131</v>
      </c>
      <c r="F111" s="4">
        <v>45700</v>
      </c>
      <c r="G111" s="6" t="s">
        <v>376</v>
      </c>
      <c r="H111" s="4">
        <v>45702</v>
      </c>
    </row>
    <row r="112" spans="1:8" ht="15">
      <c r="A112" s="7">
        <v>111</v>
      </c>
      <c r="B112" s="2" t="s">
        <v>111</v>
      </c>
      <c r="C112" s="3">
        <v>50000</v>
      </c>
      <c r="D112" s="3">
        <v>0</v>
      </c>
      <c r="E112" s="9" t="s">
        <v>8</v>
      </c>
      <c r="F112" s="4">
        <v>45700</v>
      </c>
      <c r="G112" s="6" t="s">
        <v>377</v>
      </c>
      <c r="H112" s="4">
        <v>45703</v>
      </c>
    </row>
    <row r="113" spans="1:8" ht="15">
      <c r="A113" s="7">
        <v>112</v>
      </c>
      <c r="B113" s="2" t="s">
        <v>140</v>
      </c>
      <c r="C113" s="3">
        <v>65000</v>
      </c>
      <c r="D113" s="3">
        <v>15000</v>
      </c>
      <c r="E113" s="9" t="s">
        <v>159</v>
      </c>
      <c r="F113" s="4">
        <v>45700</v>
      </c>
      <c r="G113" s="6" t="s">
        <v>378</v>
      </c>
      <c r="H113" s="4">
        <v>45703</v>
      </c>
    </row>
    <row r="114" spans="1:8" ht="15">
      <c r="A114" s="7">
        <v>113</v>
      </c>
      <c r="B114" s="2" t="s">
        <v>140</v>
      </c>
      <c r="C114" s="3">
        <v>80000</v>
      </c>
      <c r="D114" s="3">
        <v>30000</v>
      </c>
      <c r="E114" s="9" t="s">
        <v>17</v>
      </c>
      <c r="F114" s="4">
        <v>45699</v>
      </c>
      <c r="G114" s="6" t="s">
        <v>379</v>
      </c>
      <c r="H114" s="4">
        <v>45702</v>
      </c>
    </row>
    <row r="115" spans="1:8" ht="15">
      <c r="A115" s="7">
        <v>114</v>
      </c>
      <c r="B115" s="2" t="s">
        <v>380</v>
      </c>
      <c r="C115" s="3">
        <v>56000</v>
      </c>
      <c r="D115" s="3">
        <v>6000</v>
      </c>
      <c r="E115" s="9" t="s">
        <v>48</v>
      </c>
      <c r="F115" s="4">
        <v>45702</v>
      </c>
      <c r="G115" s="6" t="s">
        <v>381</v>
      </c>
      <c r="H115" s="4">
        <v>45706</v>
      </c>
    </row>
    <row r="116" spans="1:8" ht="15">
      <c r="A116" s="7">
        <v>115</v>
      </c>
      <c r="B116" s="2" t="s">
        <v>382</v>
      </c>
      <c r="C116" s="3">
        <v>70400</v>
      </c>
      <c r="D116" s="3">
        <v>20400</v>
      </c>
      <c r="E116" s="9" t="s">
        <v>109</v>
      </c>
      <c r="F116" s="4">
        <v>45701</v>
      </c>
      <c r="G116" s="6" t="s">
        <v>383</v>
      </c>
      <c r="H116" s="4">
        <v>45703</v>
      </c>
    </row>
    <row r="117" spans="1:8" ht="15">
      <c r="A117" s="7">
        <v>116</v>
      </c>
      <c r="B117" s="2" t="s">
        <v>384</v>
      </c>
      <c r="C117" s="3">
        <v>67000</v>
      </c>
      <c r="D117" s="3">
        <v>17000</v>
      </c>
      <c r="E117" s="9" t="s">
        <v>49</v>
      </c>
      <c r="F117" s="4">
        <v>45700</v>
      </c>
      <c r="G117" s="6" t="s">
        <v>385</v>
      </c>
      <c r="H117" s="4">
        <v>45703</v>
      </c>
    </row>
    <row r="118" spans="1:8" ht="15">
      <c r="A118" s="7">
        <v>117</v>
      </c>
      <c r="B118" s="2" t="s">
        <v>386</v>
      </c>
      <c r="C118" s="3">
        <v>64000</v>
      </c>
      <c r="D118" s="3">
        <v>14000</v>
      </c>
      <c r="E118" s="9" t="s">
        <v>95</v>
      </c>
      <c r="F118" s="4">
        <v>45704</v>
      </c>
      <c r="G118" s="6" t="s">
        <v>387</v>
      </c>
      <c r="H118" s="4">
        <v>45706</v>
      </c>
    </row>
    <row r="119" spans="1:8" ht="15">
      <c r="A119" s="7">
        <v>118</v>
      </c>
      <c r="B119" s="2" t="s">
        <v>200</v>
      </c>
      <c r="C119" s="3">
        <v>49975</v>
      </c>
      <c r="D119" s="3">
        <v>0</v>
      </c>
      <c r="E119" s="9" t="s">
        <v>17</v>
      </c>
      <c r="F119" s="4">
        <v>45703</v>
      </c>
      <c r="G119" s="6" t="s">
        <v>388</v>
      </c>
      <c r="H119" s="4">
        <v>45705</v>
      </c>
    </row>
    <row r="120" spans="1:8" ht="15">
      <c r="A120" s="7">
        <v>119</v>
      </c>
      <c r="B120" s="2" t="s">
        <v>181</v>
      </c>
      <c r="C120" s="3">
        <v>67500</v>
      </c>
      <c r="D120" s="3">
        <v>17500</v>
      </c>
      <c r="E120" s="9" t="s">
        <v>96</v>
      </c>
      <c r="F120" s="4">
        <v>45703</v>
      </c>
      <c r="G120" s="6" t="s">
        <v>389</v>
      </c>
      <c r="H120" s="4">
        <v>45708</v>
      </c>
    </row>
    <row r="121" spans="1:8" ht="15">
      <c r="A121" s="7">
        <v>120</v>
      </c>
      <c r="B121" s="2" t="s">
        <v>217</v>
      </c>
      <c r="C121" s="3">
        <v>54000</v>
      </c>
      <c r="D121" s="3">
        <v>4000</v>
      </c>
      <c r="E121" s="9" t="s">
        <v>390</v>
      </c>
      <c r="F121" s="4">
        <v>45705</v>
      </c>
      <c r="G121" s="6" t="s">
        <v>391</v>
      </c>
      <c r="H121" s="4">
        <v>45707</v>
      </c>
    </row>
    <row r="122" spans="1:8" ht="15">
      <c r="A122" s="7">
        <v>121</v>
      </c>
      <c r="B122" s="2" t="s">
        <v>392</v>
      </c>
      <c r="C122" s="3">
        <v>55000</v>
      </c>
      <c r="D122" s="3">
        <v>5000</v>
      </c>
      <c r="E122" s="9" t="s">
        <v>61</v>
      </c>
      <c r="F122" s="4">
        <v>45704</v>
      </c>
      <c r="G122" s="6" t="s">
        <v>393</v>
      </c>
      <c r="H122" s="4">
        <v>45707</v>
      </c>
    </row>
    <row r="123" spans="1:8" ht="15">
      <c r="A123" s="7">
        <v>122</v>
      </c>
      <c r="B123" s="2" t="s">
        <v>394</v>
      </c>
      <c r="C123" s="3">
        <v>69500</v>
      </c>
      <c r="D123" s="3">
        <v>19500</v>
      </c>
      <c r="E123" s="9" t="s">
        <v>49</v>
      </c>
      <c r="F123" s="4">
        <v>45704</v>
      </c>
      <c r="G123" s="6" t="s">
        <v>395</v>
      </c>
      <c r="H123" s="4" t="s">
        <v>365</v>
      </c>
    </row>
    <row r="124" spans="1:8" ht="15">
      <c r="A124" s="7">
        <v>123</v>
      </c>
      <c r="B124" s="2" t="s">
        <v>220</v>
      </c>
      <c r="C124" s="3">
        <v>50375</v>
      </c>
      <c r="D124" s="3">
        <v>375</v>
      </c>
      <c r="E124" s="9" t="s">
        <v>396</v>
      </c>
      <c r="F124" s="4">
        <v>45703</v>
      </c>
      <c r="G124" s="6" t="s">
        <v>397</v>
      </c>
      <c r="H124" s="4">
        <v>45708</v>
      </c>
    </row>
    <row r="125" spans="1:8" ht="15">
      <c r="A125" s="7">
        <v>124</v>
      </c>
      <c r="B125" s="2" t="s">
        <v>181</v>
      </c>
      <c r="C125" s="3">
        <v>84000</v>
      </c>
      <c r="D125" s="3">
        <v>34000</v>
      </c>
      <c r="E125" s="9" t="s">
        <v>398</v>
      </c>
      <c r="F125" s="4">
        <v>45704</v>
      </c>
      <c r="G125" s="6" t="s">
        <v>399</v>
      </c>
      <c r="H125" s="4">
        <v>45707</v>
      </c>
    </row>
    <row r="126" spans="1:8" ht="15">
      <c r="A126" s="7">
        <v>125</v>
      </c>
      <c r="B126" s="2" t="s">
        <v>198</v>
      </c>
      <c r="C126" s="3">
        <v>50000</v>
      </c>
      <c r="D126" s="3">
        <v>0</v>
      </c>
      <c r="E126" s="9" t="s">
        <v>400</v>
      </c>
      <c r="F126" s="4">
        <v>45704</v>
      </c>
      <c r="G126" s="6" t="s">
        <v>401</v>
      </c>
      <c r="H126" s="4">
        <v>45709</v>
      </c>
    </row>
    <row r="127" spans="1:8" ht="15">
      <c r="A127" s="7">
        <v>126</v>
      </c>
      <c r="B127" s="2" t="s">
        <v>384</v>
      </c>
      <c r="C127" s="3">
        <v>68000</v>
      </c>
      <c r="D127" s="3">
        <v>18000</v>
      </c>
      <c r="E127" s="9" t="s">
        <v>77</v>
      </c>
      <c r="F127" s="4">
        <v>45705</v>
      </c>
      <c r="G127" s="6" t="s">
        <v>402</v>
      </c>
      <c r="H127" s="4">
        <v>45709</v>
      </c>
    </row>
    <row r="128" spans="1:8" ht="15">
      <c r="A128" s="7">
        <v>127</v>
      </c>
      <c r="B128" s="2" t="s">
        <v>384</v>
      </c>
      <c r="C128" s="3">
        <v>65000</v>
      </c>
      <c r="D128" s="3">
        <v>32564</v>
      </c>
      <c r="E128" s="9" t="s">
        <v>24</v>
      </c>
      <c r="F128" s="4">
        <v>45707</v>
      </c>
      <c r="G128" s="6" t="s">
        <v>403</v>
      </c>
      <c r="H128" s="4">
        <v>45712</v>
      </c>
    </row>
    <row r="129" spans="1:8" ht="15">
      <c r="A129" s="7">
        <v>128</v>
      </c>
      <c r="B129" s="2" t="s">
        <v>193</v>
      </c>
      <c r="C129" s="3">
        <v>102000</v>
      </c>
      <c r="D129" s="3">
        <v>49650</v>
      </c>
      <c r="E129" s="9" t="s">
        <v>8</v>
      </c>
      <c r="F129" s="4">
        <v>45707</v>
      </c>
      <c r="G129" s="6" t="s">
        <v>404</v>
      </c>
      <c r="H129" s="4">
        <v>45710</v>
      </c>
    </row>
    <row r="130" spans="1:8" ht="15">
      <c r="A130" s="7">
        <v>129</v>
      </c>
      <c r="B130" s="2" t="s">
        <v>193</v>
      </c>
      <c r="C130" s="3">
        <v>94000</v>
      </c>
      <c r="D130" s="3">
        <v>49282</v>
      </c>
      <c r="E130" s="9" t="s">
        <v>76</v>
      </c>
      <c r="F130" s="4">
        <v>45707</v>
      </c>
      <c r="G130" s="6" t="s">
        <v>405</v>
      </c>
      <c r="H130" s="4" t="s">
        <v>144</v>
      </c>
    </row>
    <row r="131" spans="1:8" ht="15">
      <c r="A131" s="7">
        <v>130</v>
      </c>
      <c r="B131" s="2" t="s">
        <v>59</v>
      </c>
      <c r="C131" s="3">
        <v>69000</v>
      </c>
      <c r="D131" s="3">
        <v>21933</v>
      </c>
      <c r="E131" s="9" t="s">
        <v>17</v>
      </c>
      <c r="F131" s="4">
        <v>45706</v>
      </c>
      <c r="G131" s="6" t="s">
        <v>406</v>
      </c>
      <c r="H131" s="4" t="s">
        <v>144</v>
      </c>
    </row>
    <row r="132" spans="1:8" ht="15">
      <c r="A132" s="7">
        <v>131</v>
      </c>
      <c r="B132" s="2" t="s">
        <v>59</v>
      </c>
      <c r="C132" s="3">
        <v>69000</v>
      </c>
      <c r="D132" s="3">
        <v>19000</v>
      </c>
      <c r="E132" s="9" t="s">
        <v>407</v>
      </c>
      <c r="F132" s="4">
        <v>45706</v>
      </c>
      <c r="G132" s="6" t="s">
        <v>408</v>
      </c>
      <c r="H132" s="4">
        <v>45709</v>
      </c>
    </row>
    <row r="133" spans="1:8" ht="15">
      <c r="A133" s="7">
        <v>132</v>
      </c>
      <c r="B133" s="2" t="s">
        <v>409</v>
      </c>
      <c r="C133" s="3">
        <v>51481</v>
      </c>
      <c r="D133" s="3">
        <v>1481</v>
      </c>
      <c r="E133" s="9" t="s">
        <v>166</v>
      </c>
      <c r="F133" s="4">
        <v>45706</v>
      </c>
      <c r="G133" s="6" t="s">
        <v>410</v>
      </c>
      <c r="H133" s="4" t="s">
        <v>144</v>
      </c>
    </row>
    <row r="134" spans="1:8" ht="15">
      <c r="A134" s="7">
        <v>133</v>
      </c>
      <c r="B134" s="2" t="s">
        <v>181</v>
      </c>
      <c r="C134" s="3">
        <v>67500</v>
      </c>
      <c r="D134" s="3">
        <v>20819</v>
      </c>
      <c r="E134" s="9" t="s">
        <v>166</v>
      </c>
      <c r="F134" s="4">
        <v>45705</v>
      </c>
      <c r="G134" s="6" t="s">
        <v>411</v>
      </c>
      <c r="H134" s="4" t="s">
        <v>144</v>
      </c>
    </row>
    <row r="135" spans="1:8" ht="15">
      <c r="A135" s="7">
        <v>134</v>
      </c>
      <c r="B135" s="2" t="s">
        <v>384</v>
      </c>
      <c r="C135" s="3">
        <v>67900</v>
      </c>
      <c r="D135" s="3">
        <v>17900</v>
      </c>
      <c r="E135" s="9" t="s">
        <v>43</v>
      </c>
      <c r="F135" s="4">
        <v>45705</v>
      </c>
      <c r="G135" s="6" t="s">
        <v>412</v>
      </c>
      <c r="H135" s="4">
        <v>45710</v>
      </c>
    </row>
    <row r="136" spans="1:8" ht="15">
      <c r="A136" s="7">
        <v>135</v>
      </c>
      <c r="B136" s="2" t="s">
        <v>413</v>
      </c>
      <c r="C136" s="3">
        <v>156000</v>
      </c>
      <c r="D136" s="3">
        <v>96000</v>
      </c>
      <c r="E136" s="9" t="s">
        <v>78</v>
      </c>
      <c r="F136" s="4">
        <v>45710</v>
      </c>
      <c r="G136" s="6" t="s">
        <v>414</v>
      </c>
      <c r="H136" s="4">
        <v>45714</v>
      </c>
    </row>
    <row r="137" spans="1:8" ht="15">
      <c r="A137" s="7">
        <v>136</v>
      </c>
      <c r="B137" s="2" t="s">
        <v>415</v>
      </c>
      <c r="C137" s="3">
        <v>125000</v>
      </c>
      <c r="D137" s="3">
        <v>75000</v>
      </c>
      <c r="E137" s="9" t="s">
        <v>73</v>
      </c>
      <c r="F137" s="4">
        <v>45709</v>
      </c>
      <c r="G137" s="6" t="s">
        <v>416</v>
      </c>
      <c r="H137" s="4">
        <v>45712</v>
      </c>
    </row>
    <row r="138" spans="1:8" ht="15">
      <c r="A138" s="7">
        <v>137</v>
      </c>
      <c r="B138" s="2" t="s">
        <v>417</v>
      </c>
      <c r="C138" s="3">
        <v>110760</v>
      </c>
      <c r="D138" s="3">
        <v>60760</v>
      </c>
      <c r="E138" s="9" t="s">
        <v>83</v>
      </c>
      <c r="F138" s="4">
        <v>45709</v>
      </c>
      <c r="G138" s="6" t="s">
        <v>418</v>
      </c>
      <c r="H138" s="4">
        <v>45713</v>
      </c>
    </row>
    <row r="139" spans="1:8" ht="15">
      <c r="A139" s="7">
        <v>138</v>
      </c>
      <c r="B139" s="2" t="s">
        <v>245</v>
      </c>
      <c r="C139" s="3">
        <v>100240</v>
      </c>
      <c r="D139" s="3">
        <v>50240</v>
      </c>
      <c r="E139" s="9" t="s">
        <v>130</v>
      </c>
      <c r="F139" s="4">
        <v>45709</v>
      </c>
      <c r="G139" s="6" t="s">
        <v>419</v>
      </c>
      <c r="H139" s="4">
        <v>45713</v>
      </c>
    </row>
    <row r="140" spans="1:8" ht="15">
      <c r="A140" s="7">
        <v>139</v>
      </c>
      <c r="B140" s="2" t="s">
        <v>155</v>
      </c>
      <c r="C140" s="3">
        <v>149688</v>
      </c>
      <c r="D140" s="3">
        <v>99588</v>
      </c>
      <c r="E140" s="9" t="s">
        <v>24</v>
      </c>
      <c r="F140" s="4">
        <v>45710</v>
      </c>
      <c r="G140" s="6" t="s">
        <v>420</v>
      </c>
      <c r="H140" s="4" t="s">
        <v>365</v>
      </c>
    </row>
    <row r="141" spans="1:8" ht="15">
      <c r="A141" s="7">
        <v>140</v>
      </c>
      <c r="B141" s="2" t="s">
        <v>421</v>
      </c>
      <c r="C141" s="3">
        <v>109000</v>
      </c>
      <c r="D141" s="3">
        <v>59544</v>
      </c>
      <c r="E141" s="9" t="s">
        <v>101</v>
      </c>
      <c r="F141" s="4">
        <v>45708</v>
      </c>
      <c r="G141" s="6" t="s">
        <v>422</v>
      </c>
      <c r="H141" s="4">
        <v>45712</v>
      </c>
    </row>
    <row r="142" spans="1:8" ht="15">
      <c r="A142" s="7">
        <v>141</v>
      </c>
      <c r="B142" s="2" t="s">
        <v>193</v>
      </c>
      <c r="C142" s="3">
        <v>101650</v>
      </c>
      <c r="D142" s="3">
        <v>51650</v>
      </c>
      <c r="E142" s="9" t="s">
        <v>46</v>
      </c>
      <c r="F142" s="4">
        <v>45708</v>
      </c>
      <c r="G142" s="6" t="s">
        <v>423</v>
      </c>
      <c r="H142" s="4">
        <v>45711</v>
      </c>
    </row>
    <row r="143" spans="1:8" ht="15">
      <c r="A143" s="7">
        <v>142</v>
      </c>
      <c r="B143" s="2" t="s">
        <v>424</v>
      </c>
      <c r="C143" s="3">
        <v>110000</v>
      </c>
      <c r="D143" s="3">
        <v>60000</v>
      </c>
      <c r="E143" s="9" t="s">
        <v>123</v>
      </c>
      <c r="F143" s="4">
        <v>45709</v>
      </c>
      <c r="G143" s="6" t="s">
        <v>425</v>
      </c>
      <c r="H143" s="4">
        <v>45715</v>
      </c>
    </row>
    <row r="144" spans="1:8" ht="15">
      <c r="A144" s="7">
        <v>143</v>
      </c>
      <c r="B144" s="2" t="s">
        <v>92</v>
      </c>
      <c r="C144" s="3">
        <v>109795</v>
      </c>
      <c r="D144" s="3">
        <v>59795</v>
      </c>
      <c r="E144" s="9" t="s">
        <v>141</v>
      </c>
      <c r="F144" s="4">
        <v>45710</v>
      </c>
      <c r="G144" s="6" t="s">
        <v>426</v>
      </c>
      <c r="H144" s="4">
        <v>45714</v>
      </c>
    </row>
    <row r="145" spans="1:10" ht="15">
      <c r="A145" s="7">
        <v>144</v>
      </c>
      <c r="B145" s="2" t="s">
        <v>427</v>
      </c>
      <c r="C145" s="3">
        <v>132000</v>
      </c>
      <c r="D145" s="3">
        <v>82000</v>
      </c>
      <c r="E145" s="9" t="s">
        <v>60</v>
      </c>
      <c r="F145" s="4">
        <v>45711</v>
      </c>
      <c r="G145" s="6" t="s">
        <v>428</v>
      </c>
      <c r="H145" s="4">
        <v>45714</v>
      </c>
    </row>
    <row r="146" spans="1:10" ht="15">
      <c r="A146" s="7">
        <v>145</v>
      </c>
      <c r="B146" s="2" t="s">
        <v>415</v>
      </c>
      <c r="C146" s="3">
        <v>139967</v>
      </c>
      <c r="D146" s="3">
        <v>89967</v>
      </c>
      <c r="E146" s="9" t="s">
        <v>99</v>
      </c>
      <c r="F146" s="4">
        <v>45711</v>
      </c>
      <c r="G146" s="6" t="s">
        <v>429</v>
      </c>
      <c r="H146" s="4">
        <v>45714</v>
      </c>
    </row>
    <row r="147" spans="1:10" ht="15">
      <c r="A147" s="7">
        <v>146</v>
      </c>
      <c r="B147" s="2" t="s">
        <v>430</v>
      </c>
      <c r="C147" s="3">
        <v>100320</v>
      </c>
      <c r="D147" s="3">
        <v>50320</v>
      </c>
      <c r="E147" s="9" t="s">
        <v>35</v>
      </c>
      <c r="F147" s="4">
        <v>45712</v>
      </c>
      <c r="G147" s="6" t="s">
        <v>431</v>
      </c>
      <c r="H147" s="4">
        <v>45716</v>
      </c>
    </row>
    <row r="148" spans="1:10" ht="15">
      <c r="A148" s="7">
        <v>147</v>
      </c>
      <c r="B148" s="2" t="s">
        <v>432</v>
      </c>
      <c r="C148" s="3">
        <v>109200</v>
      </c>
      <c r="D148" s="3">
        <v>59200</v>
      </c>
      <c r="E148" s="9" t="s">
        <v>24</v>
      </c>
      <c r="F148" s="4">
        <v>45712</v>
      </c>
      <c r="G148" s="6" t="s">
        <v>433</v>
      </c>
      <c r="H148" s="4">
        <v>45716</v>
      </c>
    </row>
    <row r="149" spans="1:10" ht="15">
      <c r="A149" s="7">
        <v>148</v>
      </c>
      <c r="B149" s="2" t="s">
        <v>434</v>
      </c>
      <c r="C149" s="3">
        <v>134400</v>
      </c>
      <c r="D149" s="3">
        <v>67680</v>
      </c>
      <c r="E149" s="9" t="s">
        <v>8</v>
      </c>
      <c r="F149" s="4">
        <v>45712</v>
      </c>
      <c r="G149" s="6" t="s">
        <v>435</v>
      </c>
      <c r="H149" s="4">
        <v>45715</v>
      </c>
    </row>
    <row r="150" spans="1:10" ht="15">
      <c r="A150" s="7">
        <v>149</v>
      </c>
      <c r="B150" s="2" t="s">
        <v>436</v>
      </c>
      <c r="C150" s="3">
        <v>126000</v>
      </c>
      <c r="D150" s="3">
        <v>76000</v>
      </c>
      <c r="E150" s="9" t="s">
        <v>437</v>
      </c>
      <c r="F150" s="4">
        <v>45713</v>
      </c>
      <c r="G150" s="6" t="s">
        <v>438</v>
      </c>
      <c r="H150" s="4">
        <v>45715</v>
      </c>
    </row>
    <row r="151" spans="1:10" ht="15">
      <c r="A151" s="7">
        <v>150</v>
      </c>
      <c r="B151" s="2" t="s">
        <v>177</v>
      </c>
      <c r="C151" s="3">
        <v>140000</v>
      </c>
      <c r="D151" s="3">
        <v>90000</v>
      </c>
      <c r="E151" s="9" t="s">
        <v>172</v>
      </c>
      <c r="F151" s="4">
        <v>45713</v>
      </c>
      <c r="G151" s="6" t="s">
        <v>439</v>
      </c>
      <c r="H151" s="4">
        <v>45716</v>
      </c>
    </row>
    <row r="152" spans="1:10" ht="15">
      <c r="A152" s="7">
        <v>151</v>
      </c>
      <c r="B152" s="2" t="s">
        <v>440</v>
      </c>
      <c r="C152" s="3">
        <v>170430</v>
      </c>
      <c r="D152" s="3">
        <v>120430</v>
      </c>
      <c r="E152" s="9" t="s">
        <v>128</v>
      </c>
      <c r="F152" s="4">
        <v>45713</v>
      </c>
      <c r="G152" s="6" t="s">
        <v>441</v>
      </c>
      <c r="H152" s="4">
        <v>45716</v>
      </c>
    </row>
    <row r="153" spans="1:10" ht="15">
      <c r="A153" s="7">
        <v>152</v>
      </c>
      <c r="B153" s="2" t="s">
        <v>210</v>
      </c>
      <c r="C153" s="3">
        <v>107050</v>
      </c>
      <c r="D153" s="3">
        <v>47050</v>
      </c>
      <c r="E153" s="9" t="s">
        <v>109</v>
      </c>
      <c r="F153" s="4">
        <v>45714</v>
      </c>
      <c r="G153" s="6" t="s">
        <v>442</v>
      </c>
      <c r="H153" s="4">
        <v>45718</v>
      </c>
    </row>
    <row r="154" spans="1:10" ht="15">
      <c r="A154" s="7">
        <v>153</v>
      </c>
      <c r="B154" s="2" t="s">
        <v>443</v>
      </c>
      <c r="C154" s="3">
        <v>250000</v>
      </c>
      <c r="D154" s="3">
        <v>200000</v>
      </c>
      <c r="E154" s="9" t="s">
        <v>46</v>
      </c>
      <c r="F154" s="4">
        <v>45718</v>
      </c>
      <c r="G154" s="6" t="s">
        <v>444</v>
      </c>
      <c r="H154" s="4" t="s">
        <v>445</v>
      </c>
    </row>
    <row r="155" spans="1:10" ht="15">
      <c r="A155" s="7">
        <v>154</v>
      </c>
      <c r="B155" s="2" t="s">
        <v>207</v>
      </c>
      <c r="C155" s="3">
        <v>56500</v>
      </c>
      <c r="D155" s="3">
        <v>6500</v>
      </c>
      <c r="E155" s="9" t="s">
        <v>24</v>
      </c>
      <c r="F155" s="4">
        <v>45718</v>
      </c>
      <c r="G155" s="6" t="s">
        <v>446</v>
      </c>
      <c r="H155" s="4">
        <v>45722</v>
      </c>
    </row>
    <row r="156" spans="1:10" ht="15">
      <c r="A156" s="7">
        <v>155</v>
      </c>
      <c r="B156" s="2" t="s">
        <v>436</v>
      </c>
      <c r="C156" s="3">
        <v>79560</v>
      </c>
      <c r="D156" s="3">
        <v>29560</v>
      </c>
      <c r="E156" s="9" t="s">
        <v>68</v>
      </c>
      <c r="F156" s="4">
        <v>45718</v>
      </c>
      <c r="G156" s="6" t="s">
        <v>447</v>
      </c>
      <c r="H156" s="4">
        <v>45721</v>
      </c>
    </row>
    <row r="157" spans="1:10" ht="15">
      <c r="A157" s="7">
        <v>156</v>
      </c>
      <c r="B157" s="2" t="s">
        <v>448</v>
      </c>
      <c r="C157" s="3">
        <v>63700</v>
      </c>
      <c r="D157" s="3">
        <v>13700</v>
      </c>
      <c r="E157" s="9" t="s">
        <v>24</v>
      </c>
      <c r="F157" s="4">
        <v>45717</v>
      </c>
      <c r="G157" s="6" t="s">
        <v>449</v>
      </c>
      <c r="H157" s="4">
        <v>45720</v>
      </c>
      <c r="J157" s="4"/>
    </row>
    <row r="158" spans="1:10" ht="15">
      <c r="A158" s="7">
        <v>157</v>
      </c>
      <c r="B158" s="2" t="s">
        <v>450</v>
      </c>
      <c r="C158" s="3">
        <v>52000</v>
      </c>
      <c r="D158" s="3">
        <v>2000</v>
      </c>
      <c r="E158" s="9" t="s">
        <v>398</v>
      </c>
      <c r="F158" s="4">
        <v>45719</v>
      </c>
      <c r="G158" s="6" t="s">
        <v>451</v>
      </c>
      <c r="H158" s="4">
        <v>45722</v>
      </c>
      <c r="J158" s="4"/>
    </row>
    <row r="159" spans="1:10" ht="15">
      <c r="A159" s="7">
        <v>158</v>
      </c>
      <c r="B159" s="2" t="s">
        <v>452</v>
      </c>
      <c r="C159" s="3">
        <v>56700</v>
      </c>
      <c r="D159" s="3">
        <v>6700</v>
      </c>
      <c r="E159" s="9" t="s">
        <v>13</v>
      </c>
      <c r="F159" s="4">
        <v>45719</v>
      </c>
      <c r="G159" s="6" t="s">
        <v>453</v>
      </c>
      <c r="H159" s="4">
        <v>45722</v>
      </c>
    </row>
    <row r="160" spans="1:10" ht="15">
      <c r="A160" s="7">
        <v>159</v>
      </c>
      <c r="B160" s="2" t="s">
        <v>450</v>
      </c>
      <c r="C160" s="3">
        <v>50000</v>
      </c>
      <c r="D160" s="3">
        <v>0</v>
      </c>
      <c r="E160" s="9" t="s">
        <v>77</v>
      </c>
      <c r="F160" s="4">
        <v>45718</v>
      </c>
      <c r="G160" s="6" t="s">
        <v>454</v>
      </c>
      <c r="H160" s="4">
        <v>45722</v>
      </c>
    </row>
    <row r="161" spans="1:8" ht="15">
      <c r="A161" s="7">
        <v>160</v>
      </c>
      <c r="B161" s="2" t="s">
        <v>455</v>
      </c>
      <c r="C161" s="3">
        <v>102000</v>
      </c>
      <c r="D161" s="3">
        <v>52000</v>
      </c>
      <c r="E161" s="9" t="s">
        <v>71</v>
      </c>
      <c r="F161" s="4">
        <v>45723</v>
      </c>
      <c r="G161" s="6" t="s">
        <v>456</v>
      </c>
      <c r="H161" s="4">
        <v>45724</v>
      </c>
    </row>
    <row r="162" spans="1:8" ht="15">
      <c r="A162" s="7">
        <v>161</v>
      </c>
      <c r="B162" s="2" t="s">
        <v>457</v>
      </c>
      <c r="C162" s="3">
        <v>109800</v>
      </c>
      <c r="D162" s="3">
        <v>59800</v>
      </c>
      <c r="E162" s="9" t="s">
        <v>153</v>
      </c>
      <c r="F162" s="4">
        <v>45721</v>
      </c>
      <c r="G162" s="6" t="s">
        <v>458</v>
      </c>
      <c r="H162" s="4">
        <v>45725</v>
      </c>
    </row>
    <row r="163" spans="1:8" ht="15">
      <c r="A163" s="7">
        <v>162</v>
      </c>
      <c r="B163" s="2" t="s">
        <v>459</v>
      </c>
      <c r="C163" s="3">
        <v>85998</v>
      </c>
      <c r="D163" s="3">
        <v>35998</v>
      </c>
      <c r="E163" s="9" t="s">
        <v>35</v>
      </c>
      <c r="F163" s="4">
        <v>45720</v>
      </c>
      <c r="G163" s="6" t="s">
        <v>460</v>
      </c>
      <c r="H163" s="4">
        <v>45724</v>
      </c>
    </row>
    <row r="164" spans="1:8" ht="15">
      <c r="A164" s="7">
        <v>163</v>
      </c>
      <c r="B164" s="2" t="s">
        <v>450</v>
      </c>
      <c r="C164" s="3">
        <v>6200</v>
      </c>
      <c r="D164" s="3">
        <v>6200</v>
      </c>
      <c r="E164" s="9" t="s">
        <v>93</v>
      </c>
      <c r="F164" s="4">
        <v>45721</v>
      </c>
      <c r="G164" s="6" t="s">
        <v>461</v>
      </c>
      <c r="H164" s="4">
        <v>45724</v>
      </c>
    </row>
    <row r="165" spans="1:8" ht="15">
      <c r="A165" s="7">
        <v>164</v>
      </c>
      <c r="B165" s="2" t="s">
        <v>457</v>
      </c>
      <c r="C165" s="3">
        <v>106400</v>
      </c>
      <c r="D165" s="3">
        <v>56400</v>
      </c>
      <c r="E165" s="9" t="s">
        <v>93</v>
      </c>
      <c r="F165" s="4">
        <v>45721</v>
      </c>
      <c r="G165" s="6" t="s">
        <v>462</v>
      </c>
      <c r="H165" s="4">
        <v>45725</v>
      </c>
    </row>
    <row r="166" spans="1:8" ht="15">
      <c r="A166" s="7">
        <v>165</v>
      </c>
      <c r="B166" s="2" t="s">
        <v>80</v>
      </c>
      <c r="C166" s="3">
        <v>61400</v>
      </c>
      <c r="D166" s="3">
        <v>11400</v>
      </c>
      <c r="E166" s="9" t="s">
        <v>463</v>
      </c>
      <c r="F166" s="4">
        <v>45720</v>
      </c>
      <c r="G166" s="6" t="s">
        <v>464</v>
      </c>
      <c r="H166" s="4">
        <v>45724</v>
      </c>
    </row>
    <row r="167" spans="1:8" ht="15">
      <c r="A167" s="7">
        <v>166</v>
      </c>
      <c r="B167" s="2" t="s">
        <v>140</v>
      </c>
      <c r="C167" s="3">
        <v>54400</v>
      </c>
      <c r="D167" s="3">
        <v>4400</v>
      </c>
      <c r="E167" s="9" t="s">
        <v>62</v>
      </c>
      <c r="F167" s="4">
        <v>45720</v>
      </c>
      <c r="G167" s="6" t="s">
        <v>465</v>
      </c>
      <c r="H167" s="4">
        <v>45723</v>
      </c>
    </row>
    <row r="168" spans="1:8" ht="15">
      <c r="A168" s="7">
        <v>167</v>
      </c>
      <c r="B168" s="2" t="s">
        <v>466</v>
      </c>
      <c r="C168" s="3">
        <v>109000</v>
      </c>
      <c r="D168" s="3">
        <v>49000</v>
      </c>
      <c r="E168" s="9" t="s">
        <v>167</v>
      </c>
      <c r="F168" s="4">
        <v>45723</v>
      </c>
      <c r="G168" s="6" t="s">
        <v>467</v>
      </c>
      <c r="H168" s="4">
        <v>45727</v>
      </c>
    </row>
    <row r="169" spans="1:8" ht="15">
      <c r="A169" s="7">
        <v>168</v>
      </c>
      <c r="B169" s="2" t="s">
        <v>468</v>
      </c>
      <c r="C169" s="3">
        <v>104000</v>
      </c>
      <c r="D169" s="3">
        <v>54000</v>
      </c>
      <c r="E169" s="9" t="s">
        <v>469</v>
      </c>
      <c r="F169" s="4">
        <v>45723</v>
      </c>
      <c r="G169" s="6" t="s">
        <v>470</v>
      </c>
      <c r="H169" s="4">
        <v>45727</v>
      </c>
    </row>
    <row r="170" spans="1:8" ht="15">
      <c r="A170" s="7">
        <v>169</v>
      </c>
      <c r="B170" s="2" t="s">
        <v>471</v>
      </c>
      <c r="C170" s="3">
        <v>109985</v>
      </c>
      <c r="D170" s="3">
        <v>49985</v>
      </c>
      <c r="E170" s="9" t="s">
        <v>472</v>
      </c>
      <c r="F170" s="4">
        <v>45723</v>
      </c>
      <c r="G170" s="6" t="s">
        <v>473</v>
      </c>
      <c r="H170" s="4">
        <v>45726</v>
      </c>
    </row>
    <row r="171" spans="1:8" ht="15">
      <c r="A171" s="7">
        <v>170</v>
      </c>
      <c r="B171" s="2" t="s">
        <v>474</v>
      </c>
      <c r="C171" s="3">
        <v>99500</v>
      </c>
      <c r="D171" s="3">
        <v>49500</v>
      </c>
      <c r="E171" s="9" t="s">
        <v>475</v>
      </c>
      <c r="F171" s="4">
        <v>45722</v>
      </c>
      <c r="G171" s="6" t="s">
        <v>476</v>
      </c>
      <c r="H171" s="4">
        <v>45726</v>
      </c>
    </row>
    <row r="172" spans="1:8" ht="15">
      <c r="A172" s="7">
        <v>171</v>
      </c>
      <c r="B172" s="2" t="s">
        <v>477</v>
      </c>
      <c r="C172" s="3">
        <v>99000</v>
      </c>
      <c r="D172" s="3">
        <v>49000</v>
      </c>
      <c r="E172" s="9" t="s">
        <v>50</v>
      </c>
      <c r="F172" s="4">
        <v>45725</v>
      </c>
      <c r="G172" s="6" t="s">
        <v>478</v>
      </c>
      <c r="H172" s="4" t="s">
        <v>144</v>
      </c>
    </row>
    <row r="173" spans="1:8" ht="15">
      <c r="A173" s="7">
        <v>172</v>
      </c>
      <c r="B173" s="2" t="s">
        <v>479</v>
      </c>
      <c r="C173" s="3">
        <v>104000</v>
      </c>
      <c r="D173" s="3">
        <v>47000</v>
      </c>
      <c r="E173" s="9" t="s">
        <v>55</v>
      </c>
      <c r="F173" s="4">
        <v>45722</v>
      </c>
      <c r="G173" s="6" t="s">
        <v>480</v>
      </c>
      <c r="H173" s="4">
        <v>45725</v>
      </c>
    </row>
    <row r="174" spans="1:8" ht="15">
      <c r="A174" s="7">
        <v>173</v>
      </c>
      <c r="B174" s="2" t="s">
        <v>150</v>
      </c>
      <c r="C174" s="3">
        <v>100000</v>
      </c>
      <c r="D174" s="3">
        <v>50000</v>
      </c>
      <c r="E174" s="9" t="s">
        <v>16</v>
      </c>
      <c r="F174" s="4">
        <v>45726</v>
      </c>
      <c r="G174" s="6" t="s">
        <v>481</v>
      </c>
      <c r="H174" s="4">
        <v>45728</v>
      </c>
    </row>
    <row r="175" spans="1:8" ht="15">
      <c r="A175" s="7">
        <v>174</v>
      </c>
      <c r="B175" s="2" t="s">
        <v>482</v>
      </c>
      <c r="C175" s="3">
        <v>57000</v>
      </c>
      <c r="D175" s="3">
        <v>7000</v>
      </c>
      <c r="E175" s="9" t="s">
        <v>483</v>
      </c>
      <c r="F175" s="4">
        <v>45726</v>
      </c>
      <c r="G175" s="6" t="s">
        <v>484</v>
      </c>
      <c r="H175" s="4">
        <v>45729</v>
      </c>
    </row>
    <row r="176" spans="1:8" ht="15">
      <c r="A176" s="7">
        <v>175</v>
      </c>
      <c r="B176" s="2" t="s">
        <v>485</v>
      </c>
      <c r="C176" s="3">
        <v>102900</v>
      </c>
      <c r="D176" s="3">
        <v>52900</v>
      </c>
      <c r="E176" s="9" t="s">
        <v>52</v>
      </c>
      <c r="F176" s="4">
        <v>45725</v>
      </c>
      <c r="G176" s="6" t="s">
        <v>486</v>
      </c>
      <c r="H176" s="4">
        <v>45729</v>
      </c>
    </row>
    <row r="177" spans="1:9" ht="15">
      <c r="A177" s="7">
        <v>176</v>
      </c>
      <c r="B177" s="2" t="s">
        <v>487</v>
      </c>
      <c r="C177" s="3">
        <v>100000</v>
      </c>
      <c r="D177" s="3">
        <v>50000</v>
      </c>
      <c r="E177" s="9" t="s">
        <v>70</v>
      </c>
      <c r="F177" s="4">
        <v>45725</v>
      </c>
      <c r="G177" s="6" t="s">
        <v>488</v>
      </c>
      <c r="H177" s="4">
        <v>45728</v>
      </c>
    </row>
    <row r="178" spans="1:9" ht="15">
      <c r="A178" s="7">
        <v>177</v>
      </c>
      <c r="B178" s="2" t="s">
        <v>489</v>
      </c>
      <c r="C178" s="3">
        <v>107500</v>
      </c>
      <c r="D178" s="3">
        <v>57500</v>
      </c>
      <c r="E178" s="9" t="s">
        <v>490</v>
      </c>
      <c r="F178" s="4">
        <v>45724</v>
      </c>
      <c r="G178" s="6" t="s">
        <v>491</v>
      </c>
      <c r="H178" s="4">
        <v>45728</v>
      </c>
    </row>
    <row r="179" spans="1:9" ht="15">
      <c r="A179" s="7">
        <v>178</v>
      </c>
      <c r="B179" s="2" t="s">
        <v>492</v>
      </c>
      <c r="C179" s="3">
        <v>57000</v>
      </c>
      <c r="D179" s="3">
        <v>7000</v>
      </c>
      <c r="E179" s="9" t="s">
        <v>77</v>
      </c>
      <c r="F179" s="4">
        <v>45728</v>
      </c>
      <c r="G179" s="6" t="s">
        <v>493</v>
      </c>
      <c r="H179" s="4">
        <v>45731</v>
      </c>
    </row>
    <row r="180" spans="1:9" ht="15">
      <c r="A180" s="7">
        <v>179</v>
      </c>
      <c r="B180" s="2" t="s">
        <v>494</v>
      </c>
      <c r="C180" s="3">
        <v>79899</v>
      </c>
      <c r="D180" s="3">
        <v>29899</v>
      </c>
      <c r="E180" s="9" t="s">
        <v>119</v>
      </c>
      <c r="F180" s="4">
        <v>45728</v>
      </c>
      <c r="G180" s="6" t="s">
        <v>495</v>
      </c>
      <c r="H180" s="4">
        <v>45731</v>
      </c>
    </row>
    <row r="181" spans="1:9" ht="15">
      <c r="A181" s="7">
        <v>180</v>
      </c>
      <c r="B181" s="2" t="s">
        <v>230</v>
      </c>
      <c r="C181" s="3">
        <v>100000</v>
      </c>
      <c r="D181" s="3">
        <v>50000</v>
      </c>
      <c r="E181" s="9" t="s">
        <v>13</v>
      </c>
      <c r="F181" s="4">
        <v>45729</v>
      </c>
      <c r="G181" s="6" t="s">
        <v>496</v>
      </c>
      <c r="H181" s="4">
        <v>45731</v>
      </c>
    </row>
    <row r="182" spans="1:9" ht="15">
      <c r="A182" s="7">
        <v>181</v>
      </c>
      <c r="B182" s="2" t="s">
        <v>497</v>
      </c>
      <c r="C182" s="3">
        <v>43000</v>
      </c>
      <c r="D182" s="3">
        <v>0</v>
      </c>
      <c r="E182" s="9" t="s">
        <v>73</v>
      </c>
      <c r="F182" s="4">
        <v>45732</v>
      </c>
      <c r="G182" s="6" t="s">
        <v>498</v>
      </c>
      <c r="H182" s="4">
        <v>45735</v>
      </c>
    </row>
    <row r="183" spans="1:9" ht="15">
      <c r="A183" s="7">
        <v>182</v>
      </c>
      <c r="B183" s="2" t="s">
        <v>394</v>
      </c>
      <c r="C183" s="3">
        <v>65000</v>
      </c>
      <c r="D183" s="3">
        <v>15000</v>
      </c>
      <c r="E183" s="9" t="s">
        <v>27</v>
      </c>
      <c r="F183" s="4">
        <v>45732</v>
      </c>
      <c r="G183" s="6" t="s">
        <v>499</v>
      </c>
      <c r="H183" s="4">
        <v>45735</v>
      </c>
    </row>
    <row r="184" spans="1:9" ht="15">
      <c r="A184" s="7">
        <v>183</v>
      </c>
      <c r="B184" s="2" t="s">
        <v>500</v>
      </c>
      <c r="C184" s="3">
        <v>50400</v>
      </c>
      <c r="D184" s="3">
        <v>400</v>
      </c>
      <c r="E184" s="9" t="s">
        <v>348</v>
      </c>
      <c r="F184" s="4">
        <v>45731</v>
      </c>
      <c r="G184" s="6" t="s">
        <v>501</v>
      </c>
      <c r="H184" s="4">
        <v>45734</v>
      </c>
    </row>
    <row r="185" spans="1:9" ht="15">
      <c r="A185" s="7">
        <v>184</v>
      </c>
      <c r="B185" s="2" t="s">
        <v>103</v>
      </c>
      <c r="C185" s="3">
        <v>62900</v>
      </c>
      <c r="D185" s="3">
        <v>12900</v>
      </c>
      <c r="E185" s="9" t="s">
        <v>12</v>
      </c>
      <c r="F185" s="4">
        <v>45734</v>
      </c>
      <c r="G185" s="6" t="s">
        <v>502</v>
      </c>
      <c r="H185" s="4">
        <v>45736</v>
      </c>
    </row>
    <row r="186" spans="1:9" ht="15">
      <c r="A186" s="7">
        <v>185</v>
      </c>
      <c r="B186" s="2" t="s">
        <v>503</v>
      </c>
      <c r="C186" s="3">
        <v>50000</v>
      </c>
      <c r="D186" s="3">
        <v>0</v>
      </c>
      <c r="E186" s="9" t="s">
        <v>83</v>
      </c>
      <c r="F186" s="4">
        <v>45733</v>
      </c>
      <c r="G186" s="6" t="s">
        <v>504</v>
      </c>
      <c r="H186" s="4">
        <v>45736</v>
      </c>
    </row>
    <row r="187" spans="1:9" ht="15">
      <c r="A187" s="7">
        <v>186</v>
      </c>
      <c r="B187" s="2" t="s">
        <v>136</v>
      </c>
      <c r="C187" s="3">
        <v>50000</v>
      </c>
      <c r="D187" s="3">
        <v>0</v>
      </c>
      <c r="E187" s="9" t="s">
        <v>66</v>
      </c>
      <c r="F187" s="4">
        <v>45736</v>
      </c>
      <c r="G187" s="6" t="s">
        <v>505</v>
      </c>
      <c r="H187" s="4">
        <v>45738</v>
      </c>
    </row>
    <row r="188" spans="1:9" ht="15">
      <c r="A188" s="7">
        <v>187</v>
      </c>
      <c r="B188" s="2" t="s">
        <v>506</v>
      </c>
      <c r="C188" s="3">
        <v>60000</v>
      </c>
      <c r="D188" s="3">
        <v>10000</v>
      </c>
      <c r="E188" s="9" t="s">
        <v>91</v>
      </c>
      <c r="F188" s="4">
        <v>45735</v>
      </c>
      <c r="G188" s="6" t="s">
        <v>507</v>
      </c>
      <c r="H188" s="4" t="s">
        <v>144</v>
      </c>
    </row>
    <row r="189" spans="1:9" ht="15">
      <c r="A189" s="7">
        <v>188</v>
      </c>
      <c r="B189" s="2" t="s">
        <v>508</v>
      </c>
      <c r="C189" s="3">
        <v>95000</v>
      </c>
      <c r="D189" s="3">
        <v>37400</v>
      </c>
      <c r="E189" s="9" t="s">
        <v>175</v>
      </c>
      <c r="F189" s="4">
        <v>45734</v>
      </c>
      <c r="G189" s="6" t="s">
        <v>509</v>
      </c>
      <c r="H189" s="4">
        <v>45737</v>
      </c>
    </row>
    <row r="190" spans="1:9" ht="15">
      <c r="A190" s="7">
        <v>189</v>
      </c>
      <c r="B190" s="2" t="s">
        <v>510</v>
      </c>
      <c r="C190" s="3">
        <v>53000</v>
      </c>
      <c r="D190" s="3">
        <v>3000</v>
      </c>
      <c r="E190" s="9" t="s">
        <v>42</v>
      </c>
      <c r="F190" s="4">
        <v>45734</v>
      </c>
      <c r="G190" s="6" t="s">
        <v>511</v>
      </c>
      <c r="H190" s="4">
        <v>45738</v>
      </c>
    </row>
    <row r="191" spans="1:9" ht="15">
      <c r="A191" s="7">
        <v>190</v>
      </c>
      <c r="B191" s="2" t="s">
        <v>280</v>
      </c>
      <c r="C191" s="3">
        <v>48000</v>
      </c>
      <c r="D191" s="3">
        <v>0</v>
      </c>
      <c r="E191" s="9" t="s">
        <v>512</v>
      </c>
      <c r="F191" s="4">
        <v>45734</v>
      </c>
      <c r="G191" s="6" t="s">
        <v>513</v>
      </c>
      <c r="H191" s="4">
        <v>45737</v>
      </c>
    </row>
    <row r="192" spans="1:9" ht="15">
      <c r="A192" s="7">
        <v>191</v>
      </c>
      <c r="B192" s="2" t="s">
        <v>514</v>
      </c>
      <c r="C192" s="3">
        <v>117000</v>
      </c>
      <c r="D192" s="3">
        <v>67000</v>
      </c>
      <c r="E192" s="9" t="s">
        <v>109</v>
      </c>
      <c r="F192" s="4">
        <v>45742</v>
      </c>
      <c r="G192" s="6" t="s">
        <v>515</v>
      </c>
      <c r="H192" s="4">
        <v>45744</v>
      </c>
      <c r="I192" s="4"/>
    </row>
    <row r="193" spans="1:9" ht="15">
      <c r="A193" s="7">
        <v>192</v>
      </c>
      <c r="B193" s="2" t="s">
        <v>205</v>
      </c>
      <c r="C193" s="3">
        <v>124000</v>
      </c>
      <c r="D193" s="3">
        <v>64000</v>
      </c>
      <c r="E193" s="9" t="s">
        <v>68</v>
      </c>
      <c r="F193" s="4">
        <v>45742</v>
      </c>
      <c r="G193" s="6" t="s">
        <v>516</v>
      </c>
      <c r="H193" s="4">
        <v>45744</v>
      </c>
      <c r="I193" s="4"/>
    </row>
    <row r="194" spans="1:9" ht="15">
      <c r="A194" s="7">
        <v>193</v>
      </c>
      <c r="B194" s="2" t="s">
        <v>280</v>
      </c>
      <c r="C194" s="3">
        <v>99000</v>
      </c>
      <c r="D194" s="3">
        <v>49000</v>
      </c>
      <c r="E194" s="9" t="s">
        <v>81</v>
      </c>
      <c r="F194" s="4">
        <v>45741</v>
      </c>
      <c r="G194" s="6" t="s">
        <v>517</v>
      </c>
      <c r="H194" s="4">
        <v>45744</v>
      </c>
      <c r="I194" s="4"/>
    </row>
    <row r="195" spans="1:9" ht="15">
      <c r="A195" s="7">
        <v>194</v>
      </c>
      <c r="B195" s="2" t="s">
        <v>457</v>
      </c>
      <c r="C195" s="3">
        <v>109800</v>
      </c>
      <c r="D195" s="3">
        <v>59800</v>
      </c>
      <c r="E195" s="9" t="s">
        <v>160</v>
      </c>
      <c r="F195" s="4">
        <v>45741</v>
      </c>
      <c r="G195" s="6" t="s">
        <v>518</v>
      </c>
      <c r="H195" s="4">
        <v>45743</v>
      </c>
    </row>
    <row r="196" spans="1:9" ht="15">
      <c r="A196" s="7">
        <v>195</v>
      </c>
      <c r="B196" s="2" t="s">
        <v>519</v>
      </c>
      <c r="C196" s="3">
        <v>99975</v>
      </c>
      <c r="D196" s="3">
        <v>49975</v>
      </c>
      <c r="E196" s="9" t="s">
        <v>520</v>
      </c>
      <c r="F196" s="4">
        <v>45740</v>
      </c>
      <c r="G196" s="6" t="s">
        <v>521</v>
      </c>
      <c r="H196" s="4">
        <v>45744</v>
      </c>
      <c r="I196" s="4"/>
    </row>
    <row r="197" spans="1:9" ht="15">
      <c r="A197" s="7">
        <v>196</v>
      </c>
      <c r="B197" s="2" t="s">
        <v>108</v>
      </c>
      <c r="C197" s="3">
        <v>121500</v>
      </c>
      <c r="D197" s="3">
        <v>61500</v>
      </c>
      <c r="E197" s="9" t="s">
        <v>26</v>
      </c>
      <c r="F197" s="4">
        <v>45742</v>
      </c>
      <c r="G197" s="6" t="s">
        <v>522</v>
      </c>
      <c r="H197" s="4">
        <v>45745</v>
      </c>
    </row>
    <row r="198" spans="1:9" ht="15">
      <c r="A198" s="7">
        <v>197</v>
      </c>
      <c r="B198" s="2" t="s">
        <v>523</v>
      </c>
      <c r="C198" s="3">
        <v>104400</v>
      </c>
      <c r="D198" s="3">
        <v>54400</v>
      </c>
      <c r="E198" s="9" t="s">
        <v>51</v>
      </c>
      <c r="F198" s="4">
        <v>45742</v>
      </c>
      <c r="G198" s="6" t="s">
        <v>524</v>
      </c>
      <c r="H198" s="4">
        <v>45745</v>
      </c>
    </row>
    <row r="199" spans="1:9" ht="15">
      <c r="A199" s="7">
        <v>198</v>
      </c>
      <c r="B199" s="2" t="s">
        <v>103</v>
      </c>
      <c r="C199" s="3">
        <v>125000</v>
      </c>
      <c r="D199" s="3">
        <v>75000</v>
      </c>
      <c r="E199" s="9" t="s">
        <v>15</v>
      </c>
      <c r="F199" s="4">
        <v>45743</v>
      </c>
      <c r="G199" s="6" t="s">
        <v>542</v>
      </c>
      <c r="H199" s="4">
        <v>45747</v>
      </c>
    </row>
    <row r="200" spans="1:9" ht="15">
      <c r="A200" s="7">
        <v>199</v>
      </c>
      <c r="B200" s="2" t="s">
        <v>544</v>
      </c>
      <c r="C200" s="3">
        <v>112000</v>
      </c>
      <c r="D200" s="3">
        <v>56000</v>
      </c>
      <c r="E200" s="9" t="s">
        <v>17</v>
      </c>
      <c r="F200" s="4">
        <v>45743</v>
      </c>
      <c r="G200" s="6" t="s">
        <v>543</v>
      </c>
      <c r="H200" s="4">
        <v>45746</v>
      </c>
    </row>
    <row r="201" spans="1:9" ht="15">
      <c r="A201" s="7">
        <v>200</v>
      </c>
      <c r="B201" s="2" t="s">
        <v>544</v>
      </c>
      <c r="C201" s="3">
        <v>120000</v>
      </c>
      <c r="D201" s="3">
        <v>68200</v>
      </c>
      <c r="E201" s="9" t="s">
        <v>176</v>
      </c>
      <c r="F201" s="4">
        <v>45743</v>
      </c>
      <c r="G201" s="6" t="s">
        <v>545</v>
      </c>
      <c r="H201" s="4">
        <v>45745</v>
      </c>
    </row>
    <row r="202" spans="1:9" ht="15">
      <c r="A202" s="7">
        <v>201</v>
      </c>
      <c r="B202" s="2" t="s">
        <v>547</v>
      </c>
      <c r="C202" s="3">
        <v>100250</v>
      </c>
      <c r="D202" s="3">
        <v>50250</v>
      </c>
      <c r="E202" s="9" t="s">
        <v>17</v>
      </c>
      <c r="F202" s="4">
        <v>45746</v>
      </c>
      <c r="G202" s="6" t="s">
        <v>546</v>
      </c>
      <c r="H202" s="4">
        <v>45749</v>
      </c>
    </row>
    <row r="203" spans="1:9" ht="15">
      <c r="A203" s="7">
        <v>202</v>
      </c>
      <c r="B203" s="2" t="s">
        <v>285</v>
      </c>
      <c r="C203" s="3">
        <v>50000</v>
      </c>
      <c r="D203" s="3">
        <v>0</v>
      </c>
      <c r="E203" s="9" t="s">
        <v>90</v>
      </c>
      <c r="F203" s="4">
        <v>45746</v>
      </c>
      <c r="G203" s="6" t="s">
        <v>548</v>
      </c>
      <c r="H203" s="4">
        <v>45749</v>
      </c>
    </row>
    <row r="204" spans="1:9" ht="15">
      <c r="A204" s="7">
        <v>203</v>
      </c>
      <c r="B204" s="2" t="s">
        <v>487</v>
      </c>
      <c r="C204" s="3">
        <v>60000</v>
      </c>
      <c r="D204" s="3">
        <v>10000</v>
      </c>
      <c r="E204" s="9" t="s">
        <v>20</v>
      </c>
      <c r="F204" s="4">
        <v>45746</v>
      </c>
      <c r="G204" s="6" t="s">
        <v>549</v>
      </c>
      <c r="H204" s="4">
        <v>45750</v>
      </c>
    </row>
    <row r="205" spans="1:9" ht="15">
      <c r="A205" s="7">
        <v>204</v>
      </c>
      <c r="B205" s="2" t="s">
        <v>80</v>
      </c>
      <c r="C205" s="3">
        <v>53900</v>
      </c>
      <c r="D205" s="3">
        <v>3900</v>
      </c>
      <c r="E205" s="9" t="s">
        <v>106</v>
      </c>
      <c r="F205" s="4">
        <v>45745</v>
      </c>
      <c r="G205" s="6" t="s">
        <v>550</v>
      </c>
      <c r="H205" s="4">
        <v>45750</v>
      </c>
    </row>
    <row r="206" spans="1:9" ht="15">
      <c r="A206" s="7">
        <v>205</v>
      </c>
      <c r="B206" s="2" t="s">
        <v>80</v>
      </c>
      <c r="C206" s="3">
        <v>53200</v>
      </c>
      <c r="D206" s="3">
        <v>3200</v>
      </c>
      <c r="E206" s="9" t="s">
        <v>62</v>
      </c>
      <c r="F206" s="4">
        <v>45744</v>
      </c>
      <c r="G206" s="6" t="s">
        <v>551</v>
      </c>
      <c r="H206" s="4">
        <v>45748</v>
      </c>
    </row>
    <row r="207" spans="1:9" ht="15">
      <c r="A207" s="7">
        <v>206</v>
      </c>
      <c r="B207" s="2" t="s">
        <v>553</v>
      </c>
      <c r="C207" s="3">
        <v>50000</v>
      </c>
      <c r="D207" s="3">
        <v>0</v>
      </c>
      <c r="E207" s="9" t="s">
        <v>169</v>
      </c>
      <c r="F207" s="4">
        <v>45744</v>
      </c>
      <c r="G207" s="6" t="s">
        <v>552</v>
      </c>
      <c r="H207" s="4">
        <v>45747</v>
      </c>
    </row>
    <row r="208" spans="1:9" ht="15">
      <c r="A208" s="7">
        <v>207</v>
      </c>
      <c r="B208" s="2" t="s">
        <v>140</v>
      </c>
      <c r="C208" s="3">
        <v>90000</v>
      </c>
      <c r="D208" s="3">
        <v>37000</v>
      </c>
      <c r="E208" s="9" t="s">
        <v>109</v>
      </c>
      <c r="F208" s="4">
        <v>45748</v>
      </c>
      <c r="G208" s="6" t="s">
        <v>554</v>
      </c>
      <c r="H208" s="4">
        <v>45751</v>
      </c>
    </row>
    <row r="209" spans="1:8" ht="15">
      <c r="A209" s="7">
        <v>208</v>
      </c>
      <c r="B209" s="2" t="s">
        <v>485</v>
      </c>
      <c r="C209" s="3">
        <v>49500</v>
      </c>
      <c r="D209" s="3">
        <v>0</v>
      </c>
      <c r="E209" s="9" t="s">
        <v>101</v>
      </c>
      <c r="F209" s="4">
        <v>45748</v>
      </c>
      <c r="G209" s="6" t="s">
        <v>555</v>
      </c>
      <c r="H209" s="4">
        <v>45751</v>
      </c>
    </row>
    <row r="210" spans="1:8" ht="15">
      <c r="A210" s="7">
        <v>209</v>
      </c>
      <c r="B210" s="2" t="s">
        <v>557</v>
      </c>
      <c r="C210" s="3">
        <v>49000</v>
      </c>
      <c r="D210" s="3">
        <v>0</v>
      </c>
      <c r="E210" s="9" t="s">
        <v>98</v>
      </c>
      <c r="F210" s="4">
        <v>45747</v>
      </c>
      <c r="G210" s="6" t="s">
        <v>556</v>
      </c>
      <c r="H210" s="4">
        <v>45751</v>
      </c>
    </row>
    <row r="211" spans="1:8" ht="15">
      <c r="A211" s="7">
        <v>210</v>
      </c>
      <c r="B211" s="2" t="s">
        <v>80</v>
      </c>
      <c r="C211" s="3">
        <v>59819</v>
      </c>
      <c r="D211" s="3">
        <v>9819</v>
      </c>
      <c r="E211" s="9" t="s">
        <v>143</v>
      </c>
      <c r="F211" s="4">
        <v>45749</v>
      </c>
      <c r="G211" s="6" t="s">
        <v>558</v>
      </c>
      <c r="H211" s="4">
        <v>45752</v>
      </c>
    </row>
    <row r="212" spans="1:8" ht="15">
      <c r="A212" s="7">
        <v>211</v>
      </c>
      <c r="B212" s="2" t="s">
        <v>561</v>
      </c>
      <c r="C212" s="3">
        <v>49450</v>
      </c>
      <c r="D212" s="3">
        <v>0</v>
      </c>
      <c r="E212" s="9" t="s">
        <v>26</v>
      </c>
      <c r="F212" s="4">
        <v>45750</v>
      </c>
      <c r="G212" s="6" t="s">
        <v>560</v>
      </c>
      <c r="H212" s="4">
        <v>45755</v>
      </c>
    </row>
    <row r="213" spans="1:8" ht="15">
      <c r="A213" s="7">
        <v>212</v>
      </c>
      <c r="B213" s="2" t="s">
        <v>80</v>
      </c>
      <c r="C213" s="3">
        <v>51000</v>
      </c>
      <c r="D213" s="3">
        <v>1000</v>
      </c>
      <c r="E213" s="9" t="s">
        <v>437</v>
      </c>
      <c r="F213" s="4">
        <v>45750</v>
      </c>
      <c r="G213" s="6" t="s">
        <v>562</v>
      </c>
      <c r="H213" s="4">
        <v>45752</v>
      </c>
    </row>
    <row r="214" spans="1:8" ht="15">
      <c r="A214" s="7">
        <v>213</v>
      </c>
      <c r="B214" s="2" t="s">
        <v>178</v>
      </c>
      <c r="C214" s="3">
        <v>71800</v>
      </c>
      <c r="D214" s="3">
        <v>21800</v>
      </c>
      <c r="E214" s="9" t="s">
        <v>126</v>
      </c>
      <c r="F214" s="4">
        <v>45750</v>
      </c>
      <c r="G214" s="6" t="s">
        <v>563</v>
      </c>
      <c r="H214" s="4">
        <v>45752</v>
      </c>
    </row>
    <row r="215" spans="1:8" ht="15">
      <c r="A215" s="7">
        <v>214</v>
      </c>
      <c r="B215" s="2" t="s">
        <v>566</v>
      </c>
      <c r="C215" s="3">
        <v>79800</v>
      </c>
      <c r="D215" s="3">
        <v>29800</v>
      </c>
      <c r="E215" s="9" t="s">
        <v>565</v>
      </c>
      <c r="F215" s="4">
        <v>45752</v>
      </c>
      <c r="G215" s="6" t="s">
        <v>564</v>
      </c>
      <c r="H215" s="4">
        <v>45756</v>
      </c>
    </row>
    <row r="216" spans="1:8" ht="15">
      <c r="A216" s="7">
        <v>215</v>
      </c>
      <c r="B216" s="2" t="s">
        <v>557</v>
      </c>
      <c r="C216" s="3">
        <v>50000</v>
      </c>
      <c r="D216" s="3">
        <v>0</v>
      </c>
      <c r="E216" s="9" t="s">
        <v>141</v>
      </c>
      <c r="F216" s="4">
        <v>45751</v>
      </c>
      <c r="G216" s="6" t="s">
        <v>567</v>
      </c>
      <c r="H216" s="4">
        <v>45755</v>
      </c>
    </row>
    <row r="217" spans="1:8" ht="15">
      <c r="A217" s="7">
        <v>216</v>
      </c>
      <c r="B217" s="2" t="s">
        <v>489</v>
      </c>
      <c r="C217" s="3">
        <v>50000</v>
      </c>
      <c r="D217" s="3">
        <v>0</v>
      </c>
      <c r="E217" s="9" t="s">
        <v>27</v>
      </c>
      <c r="F217" s="4">
        <v>45751</v>
      </c>
      <c r="G217" s="6" t="s">
        <v>568</v>
      </c>
      <c r="H217" s="4">
        <v>45755</v>
      </c>
    </row>
    <row r="218" spans="1:8" ht="15">
      <c r="A218" s="7">
        <v>217</v>
      </c>
      <c r="B218" s="2" t="s">
        <v>570</v>
      </c>
      <c r="C218" s="3">
        <v>99000</v>
      </c>
      <c r="D218" s="3">
        <v>49000</v>
      </c>
      <c r="E218" s="9" t="s">
        <v>35</v>
      </c>
      <c r="F218" s="4">
        <v>45751</v>
      </c>
      <c r="G218" s="6" t="s">
        <v>569</v>
      </c>
      <c r="H218" s="4">
        <v>45755</v>
      </c>
    </row>
    <row r="219" spans="1:8" ht="15">
      <c r="A219" s="7">
        <v>218</v>
      </c>
      <c r="B219" s="2" t="s">
        <v>134</v>
      </c>
      <c r="C219" s="3">
        <v>49140</v>
      </c>
      <c r="D219" s="3">
        <v>0</v>
      </c>
      <c r="E219" s="9" t="s">
        <v>12</v>
      </c>
      <c r="F219" s="4">
        <v>45754</v>
      </c>
      <c r="G219" s="6" t="s">
        <v>571</v>
      </c>
      <c r="H219" s="4">
        <v>45757</v>
      </c>
    </row>
    <row r="220" spans="1:8" ht="15">
      <c r="A220" s="7">
        <v>219</v>
      </c>
      <c r="B220" s="2" t="s">
        <v>573</v>
      </c>
      <c r="C220" s="3">
        <v>55900</v>
      </c>
      <c r="D220" s="3">
        <v>5900</v>
      </c>
      <c r="E220" s="9" t="s">
        <v>113</v>
      </c>
      <c r="F220" s="4">
        <v>45754</v>
      </c>
      <c r="G220" s="6" t="s">
        <v>572</v>
      </c>
      <c r="H220" s="4">
        <v>45757</v>
      </c>
    </row>
    <row r="221" spans="1:8" ht="15">
      <c r="A221" s="7">
        <v>220</v>
      </c>
      <c r="B221" s="2" t="s">
        <v>573</v>
      </c>
      <c r="C221" s="3">
        <v>51000</v>
      </c>
      <c r="D221" s="3">
        <v>1000</v>
      </c>
      <c r="E221" s="9" t="s">
        <v>24</v>
      </c>
      <c r="F221" s="4">
        <v>45753</v>
      </c>
      <c r="G221" s="6" t="s">
        <v>574</v>
      </c>
      <c r="H221" s="4">
        <v>45756</v>
      </c>
    </row>
    <row r="222" spans="1:8" ht="15">
      <c r="A222" s="7">
        <v>221</v>
      </c>
      <c r="B222" s="2" t="s">
        <v>576</v>
      </c>
      <c r="C222" s="3">
        <v>89982</v>
      </c>
      <c r="D222" s="3">
        <v>39982</v>
      </c>
      <c r="E222" s="9" t="s">
        <v>135</v>
      </c>
      <c r="F222" s="4">
        <v>45753</v>
      </c>
      <c r="G222" s="6" t="s">
        <v>575</v>
      </c>
      <c r="H222" s="4">
        <v>45756</v>
      </c>
    </row>
    <row r="223" spans="1:8" ht="15">
      <c r="A223" s="7">
        <v>222</v>
      </c>
      <c r="B223" s="2" t="s">
        <v>578</v>
      </c>
      <c r="C223" s="3">
        <v>84000</v>
      </c>
      <c r="D223" s="3">
        <v>34000</v>
      </c>
      <c r="E223" s="9" t="s">
        <v>60</v>
      </c>
      <c r="F223" s="4">
        <v>45758</v>
      </c>
      <c r="G223" s="6" t="s">
        <v>577</v>
      </c>
      <c r="H223" s="4">
        <v>45762</v>
      </c>
    </row>
    <row r="224" spans="1:8" ht="15">
      <c r="A224" s="7">
        <v>223</v>
      </c>
      <c r="B224" s="2" t="s">
        <v>489</v>
      </c>
      <c r="C224" s="3">
        <v>50000</v>
      </c>
      <c r="D224" s="3">
        <v>0</v>
      </c>
      <c r="E224" s="9" t="s">
        <v>44</v>
      </c>
      <c r="F224" s="4">
        <v>45759</v>
      </c>
      <c r="G224" s="6" t="s">
        <v>579</v>
      </c>
      <c r="H224" s="4">
        <v>45761</v>
      </c>
    </row>
    <row r="225" spans="1:8" ht="15">
      <c r="A225" s="7">
        <v>224</v>
      </c>
      <c r="B225" s="2" t="s">
        <v>508</v>
      </c>
      <c r="C225" s="3">
        <v>48000</v>
      </c>
      <c r="D225" s="3">
        <v>0</v>
      </c>
      <c r="E225" s="9" t="s">
        <v>147</v>
      </c>
      <c r="F225" s="4">
        <v>45757</v>
      </c>
      <c r="G225" s="6" t="s">
        <v>580</v>
      </c>
      <c r="H225" s="4">
        <v>45760</v>
      </c>
    </row>
    <row r="226" spans="1:8" ht="15">
      <c r="A226" s="7">
        <v>225</v>
      </c>
      <c r="B226" s="2" t="s">
        <v>80</v>
      </c>
      <c r="C226" s="3">
        <v>51000</v>
      </c>
      <c r="D226" s="3">
        <v>1000</v>
      </c>
      <c r="E226" s="9" t="s">
        <v>75</v>
      </c>
      <c r="F226" s="4">
        <v>45757</v>
      </c>
      <c r="G226" s="6" t="s">
        <v>581</v>
      </c>
      <c r="H226" s="4">
        <v>45760</v>
      </c>
    </row>
    <row r="227" spans="1:8" ht="15">
      <c r="A227" s="7">
        <v>226</v>
      </c>
      <c r="B227" s="2" t="s">
        <v>489</v>
      </c>
      <c r="C227" s="3">
        <v>50000</v>
      </c>
      <c r="D227" s="3">
        <v>0</v>
      </c>
      <c r="E227" s="9" t="s">
        <v>139</v>
      </c>
      <c r="F227" s="4">
        <v>45757</v>
      </c>
      <c r="G227" s="6" t="s">
        <v>582</v>
      </c>
      <c r="H227" s="4">
        <v>45759</v>
      </c>
    </row>
    <row r="228" spans="1:8" ht="15">
      <c r="A228" s="7">
        <v>227</v>
      </c>
      <c r="B228" s="2" t="s">
        <v>80</v>
      </c>
      <c r="C228" s="3">
        <v>56900</v>
      </c>
      <c r="D228" s="3">
        <v>0</v>
      </c>
      <c r="E228" s="9" t="s">
        <v>171</v>
      </c>
      <c r="F228" s="4">
        <v>45756</v>
      </c>
      <c r="G228" s="6" t="s">
        <v>583</v>
      </c>
      <c r="H228" s="4">
        <v>45759</v>
      </c>
    </row>
    <row r="229" spans="1:8" ht="15">
      <c r="A229" s="7">
        <v>228</v>
      </c>
      <c r="B229" s="2" t="s">
        <v>585</v>
      </c>
      <c r="C229" s="3">
        <v>57000</v>
      </c>
      <c r="D229" s="3">
        <v>7000</v>
      </c>
      <c r="E229" s="9" t="s">
        <v>149</v>
      </c>
      <c r="F229" s="4">
        <v>45756</v>
      </c>
      <c r="G229" s="6" t="s">
        <v>584</v>
      </c>
      <c r="H229" s="4">
        <v>45759</v>
      </c>
    </row>
    <row r="230" spans="1:8" ht="15">
      <c r="A230" s="7">
        <v>229</v>
      </c>
      <c r="B230" s="2" t="s">
        <v>508</v>
      </c>
      <c r="C230" s="3">
        <v>80000</v>
      </c>
      <c r="D230" s="3">
        <v>20000</v>
      </c>
      <c r="E230" s="9" t="s">
        <v>117</v>
      </c>
      <c r="F230" s="4">
        <v>45763</v>
      </c>
      <c r="G230" s="6" t="s">
        <v>586</v>
      </c>
      <c r="H230" s="4">
        <v>45765</v>
      </c>
    </row>
    <row r="231" spans="1:8" ht="15">
      <c r="A231" s="7">
        <v>230</v>
      </c>
      <c r="B231" s="2" t="s">
        <v>151</v>
      </c>
      <c r="C231" s="3">
        <v>104000</v>
      </c>
      <c r="D231" s="3">
        <v>44000</v>
      </c>
      <c r="E231" s="9" t="s">
        <v>137</v>
      </c>
      <c r="F231" s="4">
        <v>45763</v>
      </c>
      <c r="G231" s="6" t="s">
        <v>587</v>
      </c>
      <c r="H231" s="4">
        <v>45765</v>
      </c>
    </row>
    <row r="232" spans="1:8" ht="15">
      <c r="A232" s="7">
        <v>231</v>
      </c>
      <c r="B232" s="2" t="s">
        <v>589</v>
      </c>
      <c r="C232" s="3">
        <v>60000</v>
      </c>
      <c r="D232" s="3">
        <v>0</v>
      </c>
      <c r="E232" s="9" t="s">
        <v>21</v>
      </c>
      <c r="F232" s="4">
        <v>45762</v>
      </c>
      <c r="G232" s="6" t="s">
        <v>588</v>
      </c>
      <c r="H232" s="4">
        <v>45764</v>
      </c>
    </row>
    <row r="233" spans="1:8" ht="15">
      <c r="A233" s="7">
        <v>232</v>
      </c>
      <c r="B233" s="2" t="s">
        <v>80</v>
      </c>
      <c r="C233" s="3">
        <v>50000</v>
      </c>
      <c r="D233" s="3">
        <v>0</v>
      </c>
      <c r="E233" s="9" t="s">
        <v>591</v>
      </c>
      <c r="F233" s="4">
        <v>45761</v>
      </c>
      <c r="G233" s="6" t="s">
        <v>590</v>
      </c>
      <c r="H233" s="4">
        <v>45764</v>
      </c>
    </row>
    <row r="234" spans="1:8" ht="15">
      <c r="A234" s="7">
        <v>233</v>
      </c>
      <c r="B234" s="2" t="s">
        <v>593</v>
      </c>
      <c r="C234" s="3">
        <v>49000</v>
      </c>
      <c r="D234" s="3">
        <v>0</v>
      </c>
      <c r="E234" s="9" t="s">
        <v>70</v>
      </c>
      <c r="F234" s="4">
        <v>45761</v>
      </c>
      <c r="G234" s="6" t="s">
        <v>592</v>
      </c>
      <c r="H234" s="4">
        <v>45764</v>
      </c>
    </row>
    <row r="235" spans="1:8" ht="15">
      <c r="A235" s="7">
        <v>234</v>
      </c>
      <c r="B235" s="2" t="s">
        <v>47</v>
      </c>
      <c r="C235" s="3">
        <v>76500</v>
      </c>
      <c r="D235" s="3">
        <v>16500</v>
      </c>
      <c r="E235" s="9" t="s">
        <v>31</v>
      </c>
      <c r="F235" s="4">
        <v>45766</v>
      </c>
      <c r="G235" s="6" t="s">
        <v>594</v>
      </c>
      <c r="H235" s="4">
        <v>45769</v>
      </c>
    </row>
    <row r="236" spans="1:8" ht="15">
      <c r="A236" s="7">
        <v>235</v>
      </c>
      <c r="B236" s="2" t="s">
        <v>596</v>
      </c>
      <c r="C236" s="3">
        <v>73200</v>
      </c>
      <c r="D236" s="3">
        <v>13200</v>
      </c>
      <c r="E236" s="9" t="s">
        <v>188</v>
      </c>
      <c r="F236" s="4">
        <v>45766</v>
      </c>
      <c r="G236" s="6" t="s">
        <v>595</v>
      </c>
      <c r="H236" s="4">
        <v>45768</v>
      </c>
    </row>
    <row r="237" spans="1:8" ht="15">
      <c r="A237" s="7">
        <v>236</v>
      </c>
      <c r="B237" s="2" t="s">
        <v>598</v>
      </c>
      <c r="C237" s="3">
        <v>60000</v>
      </c>
      <c r="D237" s="3">
        <v>0</v>
      </c>
      <c r="E237" s="9" t="s">
        <v>106</v>
      </c>
      <c r="F237" s="4">
        <v>45765</v>
      </c>
      <c r="G237" s="6" t="s">
        <v>597</v>
      </c>
      <c r="H237" s="4">
        <v>45768</v>
      </c>
    </row>
    <row r="238" spans="1:8" ht="15">
      <c r="A238" s="7">
        <v>237</v>
      </c>
      <c r="B238" s="2" t="s">
        <v>203</v>
      </c>
      <c r="C238" s="3">
        <v>60450</v>
      </c>
      <c r="D238" s="3">
        <v>450</v>
      </c>
      <c r="E238" s="9" t="s">
        <v>35</v>
      </c>
      <c r="F238" s="4">
        <v>45765</v>
      </c>
      <c r="G238" s="6" t="s">
        <v>599</v>
      </c>
      <c r="H238" s="4" t="s">
        <v>144</v>
      </c>
    </row>
    <row r="239" spans="1:8" ht="15">
      <c r="A239" s="7">
        <v>238</v>
      </c>
      <c r="B239" s="2" t="s">
        <v>601</v>
      </c>
      <c r="C239" s="3">
        <v>57800</v>
      </c>
      <c r="D239" s="3">
        <v>0</v>
      </c>
      <c r="E239" s="9" t="s">
        <v>77</v>
      </c>
      <c r="F239" s="4">
        <v>45764</v>
      </c>
      <c r="G239" s="6" t="s">
        <v>600</v>
      </c>
      <c r="H239" s="4">
        <v>45767</v>
      </c>
    </row>
    <row r="240" spans="1:8" ht="15">
      <c r="A240" s="7">
        <v>239</v>
      </c>
      <c r="B240" s="2" t="s">
        <v>603</v>
      </c>
      <c r="C240" s="3">
        <v>63200</v>
      </c>
      <c r="D240" s="3">
        <v>13200</v>
      </c>
      <c r="E240" s="9" t="s">
        <v>61</v>
      </c>
      <c r="F240" s="4">
        <v>45764</v>
      </c>
      <c r="G240" s="6" t="s">
        <v>602</v>
      </c>
      <c r="H240" s="4">
        <v>45767</v>
      </c>
    </row>
    <row r="241" spans="1:8" ht="15">
      <c r="A241" s="7">
        <v>240</v>
      </c>
      <c r="B241" s="2" t="s">
        <v>606</v>
      </c>
      <c r="C241" s="3">
        <v>62400</v>
      </c>
      <c r="D241" s="3">
        <v>2400</v>
      </c>
      <c r="E241" s="9" t="s">
        <v>605</v>
      </c>
      <c r="F241" s="4">
        <v>45768</v>
      </c>
      <c r="G241" s="6" t="s">
        <v>604</v>
      </c>
      <c r="H241" s="4">
        <v>45773</v>
      </c>
    </row>
    <row r="242" spans="1:8" ht="15">
      <c r="A242" s="7">
        <v>241</v>
      </c>
      <c r="B242" s="2" t="s">
        <v>608</v>
      </c>
      <c r="C242" s="3">
        <v>69000</v>
      </c>
      <c r="D242" s="3">
        <v>9000</v>
      </c>
      <c r="E242" s="9" t="s">
        <v>86</v>
      </c>
      <c r="F242" s="4">
        <v>45767</v>
      </c>
      <c r="G242" s="6" t="s">
        <v>607</v>
      </c>
      <c r="H242" s="4">
        <v>45771</v>
      </c>
    </row>
    <row r="243" spans="1:8" ht="15">
      <c r="A243" s="7">
        <v>242</v>
      </c>
      <c r="B243" s="2" t="s">
        <v>80</v>
      </c>
      <c r="C243" s="3">
        <v>56900</v>
      </c>
      <c r="D243" s="3">
        <v>0</v>
      </c>
      <c r="E243" s="9" t="s">
        <v>398</v>
      </c>
      <c r="F243" s="4">
        <v>45767</v>
      </c>
      <c r="G243" s="6" t="s">
        <v>609</v>
      </c>
      <c r="H243" s="4">
        <v>45770</v>
      </c>
    </row>
    <row r="244" spans="1:8" ht="15">
      <c r="A244" s="7">
        <v>243</v>
      </c>
      <c r="B244" s="2" t="s">
        <v>59</v>
      </c>
      <c r="C244" s="3">
        <v>72000</v>
      </c>
      <c r="D244" s="3">
        <v>12000</v>
      </c>
      <c r="E244" s="9" t="s">
        <v>41</v>
      </c>
      <c r="F244" s="4">
        <v>45769</v>
      </c>
      <c r="G244" s="6" t="s">
        <v>610</v>
      </c>
      <c r="H244" s="4">
        <v>45771</v>
      </c>
    </row>
    <row r="245" spans="1:8" ht="15">
      <c r="A245" s="7">
        <v>244</v>
      </c>
      <c r="B245" s="2" t="s">
        <v>59</v>
      </c>
      <c r="C245" s="3">
        <v>69000</v>
      </c>
      <c r="D245" s="3">
        <v>9000</v>
      </c>
      <c r="E245" s="9" t="s">
        <v>91</v>
      </c>
      <c r="F245" s="4">
        <v>45768</v>
      </c>
      <c r="G245" s="6" t="s">
        <v>611</v>
      </c>
      <c r="H245" s="4">
        <v>45771</v>
      </c>
    </row>
    <row r="246" spans="1:8" ht="15">
      <c r="A246" s="7">
        <v>245</v>
      </c>
      <c r="B246" s="2" t="s">
        <v>110</v>
      </c>
      <c r="C246" s="3">
        <v>54500</v>
      </c>
      <c r="D246" s="3">
        <v>0</v>
      </c>
      <c r="E246" s="9" t="s">
        <v>32</v>
      </c>
      <c r="F246" s="4">
        <v>45769</v>
      </c>
      <c r="G246" s="6" t="s">
        <v>612</v>
      </c>
      <c r="H246" s="4">
        <v>45773</v>
      </c>
    </row>
    <row r="247" spans="1:8" ht="15">
      <c r="A247" s="7">
        <v>246</v>
      </c>
      <c r="B247" s="2" t="s">
        <v>47</v>
      </c>
      <c r="C247" s="3">
        <v>76500</v>
      </c>
      <c r="D247" s="3">
        <v>16500</v>
      </c>
      <c r="E247" s="9" t="s">
        <v>614</v>
      </c>
      <c r="F247" s="4">
        <v>45769</v>
      </c>
      <c r="G247" s="6" t="s">
        <v>613</v>
      </c>
      <c r="H247" s="4" t="s">
        <v>144</v>
      </c>
    </row>
    <row r="248" spans="1:8" ht="15">
      <c r="A248" s="7">
        <v>247</v>
      </c>
      <c r="B248" s="2" t="s">
        <v>616</v>
      </c>
      <c r="C248" s="3">
        <v>72000</v>
      </c>
      <c r="D248" s="3">
        <v>12000</v>
      </c>
      <c r="E248" s="9" t="s">
        <v>188</v>
      </c>
      <c r="F248" s="4">
        <v>45772</v>
      </c>
      <c r="G248" s="6" t="s">
        <v>615</v>
      </c>
      <c r="H248" s="4">
        <v>45775</v>
      </c>
    </row>
    <row r="249" spans="1:8" ht="15">
      <c r="A249" s="7">
        <v>248</v>
      </c>
      <c r="B249" s="2" t="s">
        <v>618</v>
      </c>
      <c r="C249" s="3">
        <v>80000</v>
      </c>
      <c r="D249" s="3">
        <v>19000</v>
      </c>
      <c r="E249" s="9" t="s">
        <v>44</v>
      </c>
      <c r="F249" s="4">
        <v>45772</v>
      </c>
      <c r="G249" s="6" t="s">
        <v>617</v>
      </c>
      <c r="H249" s="4">
        <v>45774</v>
      </c>
    </row>
    <row r="250" spans="1:8" ht="15">
      <c r="A250" s="7">
        <v>249</v>
      </c>
      <c r="B250" s="2" t="s">
        <v>620</v>
      </c>
      <c r="C250" s="3">
        <v>73200</v>
      </c>
      <c r="D250" s="3">
        <v>13200</v>
      </c>
      <c r="E250" s="9" t="s">
        <v>162</v>
      </c>
      <c r="F250" s="4">
        <v>45771</v>
      </c>
      <c r="G250" s="6" t="s">
        <v>619</v>
      </c>
      <c r="H250" s="4">
        <v>45773</v>
      </c>
    </row>
    <row r="251" spans="1:8" ht="15">
      <c r="A251" s="7">
        <v>250</v>
      </c>
      <c r="B251" s="2" t="s">
        <v>459</v>
      </c>
      <c r="C251" s="3">
        <v>63000</v>
      </c>
      <c r="D251" s="3">
        <v>3000</v>
      </c>
      <c r="E251" s="9" t="s">
        <v>8</v>
      </c>
      <c r="F251" s="4">
        <v>45771</v>
      </c>
      <c r="G251" s="6" t="s">
        <v>621</v>
      </c>
      <c r="H251" s="4">
        <v>45773</v>
      </c>
    </row>
    <row r="252" spans="1:8" ht="15">
      <c r="A252" s="7">
        <v>251</v>
      </c>
      <c r="B252" s="2" t="s">
        <v>623</v>
      </c>
      <c r="C252" s="3">
        <v>61520</v>
      </c>
      <c r="D252" s="3">
        <v>51520</v>
      </c>
      <c r="E252" s="9" t="s">
        <v>183</v>
      </c>
      <c r="F252" s="4">
        <v>45770</v>
      </c>
      <c r="G252" s="6" t="s">
        <v>622</v>
      </c>
      <c r="H252" s="4">
        <v>45774</v>
      </c>
    </row>
    <row r="253" spans="1:8" ht="15">
      <c r="A253" s="7">
        <v>252</v>
      </c>
      <c r="B253" s="2" t="s">
        <v>625</v>
      </c>
      <c r="C253" s="3">
        <v>80000</v>
      </c>
      <c r="D253" s="3">
        <v>20000</v>
      </c>
      <c r="E253" s="9" t="s">
        <v>97</v>
      </c>
      <c r="F253" s="4">
        <v>45776</v>
      </c>
      <c r="G253" s="6" t="s">
        <v>624</v>
      </c>
      <c r="H253" s="4">
        <v>45780</v>
      </c>
    </row>
    <row r="254" spans="1:8" ht="15">
      <c r="A254" s="7">
        <v>253</v>
      </c>
      <c r="B254" s="2" t="s">
        <v>627</v>
      </c>
      <c r="C254" s="3">
        <v>95200</v>
      </c>
      <c r="D254" s="3">
        <v>35200</v>
      </c>
      <c r="E254" s="9" t="s">
        <v>27</v>
      </c>
      <c r="F254" s="4">
        <v>45775</v>
      </c>
      <c r="G254" s="6" t="s">
        <v>626</v>
      </c>
      <c r="H254" s="4">
        <v>45780</v>
      </c>
    </row>
    <row r="255" spans="1:8" ht="15">
      <c r="A255" s="7">
        <v>254</v>
      </c>
      <c r="B255" s="2" t="s">
        <v>629</v>
      </c>
      <c r="C255" s="3">
        <v>66000</v>
      </c>
      <c r="D255" s="3">
        <v>6000</v>
      </c>
      <c r="E255" s="9" t="s">
        <v>115</v>
      </c>
      <c r="F255" s="4">
        <v>45775</v>
      </c>
      <c r="G255" s="6" t="s">
        <v>628</v>
      </c>
      <c r="H255" s="4">
        <v>45780</v>
      </c>
    </row>
    <row r="256" spans="1:8" ht="15">
      <c r="A256" s="7">
        <v>255</v>
      </c>
      <c r="B256" s="2" t="s">
        <v>625</v>
      </c>
      <c r="C256" s="3">
        <v>97200</v>
      </c>
      <c r="D256" s="3">
        <v>37200</v>
      </c>
      <c r="E256" s="9" t="s">
        <v>98</v>
      </c>
      <c r="F256" s="4">
        <v>45774</v>
      </c>
      <c r="G256" s="6" t="s">
        <v>630</v>
      </c>
      <c r="H256" s="4" t="s">
        <v>144</v>
      </c>
    </row>
    <row r="257" spans="1:8" ht="15">
      <c r="A257" s="7">
        <v>256</v>
      </c>
      <c r="B257" s="2" t="s">
        <v>561</v>
      </c>
      <c r="C257" s="3">
        <v>65000</v>
      </c>
      <c r="D257" s="3">
        <v>5000</v>
      </c>
      <c r="E257" s="9" t="s">
        <v>12</v>
      </c>
      <c r="F257" s="4">
        <v>45774</v>
      </c>
      <c r="G257" s="6" t="s">
        <v>631</v>
      </c>
      <c r="H257" s="4">
        <v>45782</v>
      </c>
    </row>
    <row r="258" spans="1:8" ht="15">
      <c r="A258" s="7">
        <v>257</v>
      </c>
      <c r="B258" s="2" t="s">
        <v>80</v>
      </c>
      <c r="C258" s="3">
        <v>55900</v>
      </c>
      <c r="D258" s="3">
        <v>5900</v>
      </c>
      <c r="E258" s="9" t="s">
        <v>50</v>
      </c>
      <c r="F258" s="4">
        <v>45781</v>
      </c>
      <c r="G258" s="6" t="s">
        <v>632</v>
      </c>
      <c r="H258" s="4">
        <v>45785</v>
      </c>
    </row>
    <row r="259" spans="1:8" ht="15">
      <c r="A259" s="7">
        <v>258</v>
      </c>
      <c r="B259" s="2" t="s">
        <v>9</v>
      </c>
      <c r="C259" s="3">
        <v>93000</v>
      </c>
      <c r="D259" s="3">
        <v>43000</v>
      </c>
      <c r="E259" s="9" t="s">
        <v>398</v>
      </c>
      <c r="F259" s="4">
        <v>45781</v>
      </c>
      <c r="G259" s="6" t="s">
        <v>633</v>
      </c>
      <c r="H259" s="4">
        <v>45787</v>
      </c>
    </row>
    <row r="260" spans="1:8" ht="15">
      <c r="A260" s="7">
        <v>259</v>
      </c>
      <c r="B260" s="2" t="s">
        <v>59</v>
      </c>
      <c r="C260" s="3">
        <v>64000</v>
      </c>
      <c r="D260" s="3">
        <v>14000</v>
      </c>
      <c r="E260" s="9" t="s">
        <v>160</v>
      </c>
      <c r="F260" s="4">
        <v>45781</v>
      </c>
      <c r="G260" s="6" t="s">
        <v>634</v>
      </c>
      <c r="H260" s="4">
        <v>45784</v>
      </c>
    </row>
    <row r="261" spans="1:8" ht="15">
      <c r="A261" s="7">
        <v>260</v>
      </c>
      <c r="B261" s="2" t="s">
        <v>136</v>
      </c>
      <c r="C261" s="3">
        <v>46250</v>
      </c>
      <c r="D261" s="3">
        <v>0</v>
      </c>
      <c r="E261" s="9" t="s">
        <v>40</v>
      </c>
      <c r="F261" s="4">
        <v>45781</v>
      </c>
      <c r="G261" s="6" t="s">
        <v>635</v>
      </c>
      <c r="H261" s="4">
        <v>45785</v>
      </c>
    </row>
    <row r="262" spans="1:8" ht="15">
      <c r="A262" s="7">
        <v>261</v>
      </c>
      <c r="B262" s="2" t="s">
        <v>190</v>
      </c>
      <c r="C262" s="3">
        <v>147861</v>
      </c>
      <c r="D262" s="3">
        <v>97861</v>
      </c>
      <c r="E262" s="9" t="s">
        <v>135</v>
      </c>
      <c r="F262" s="4">
        <v>45780</v>
      </c>
      <c r="G262" s="6" t="s">
        <v>636</v>
      </c>
      <c r="H262" s="4">
        <v>45784</v>
      </c>
    </row>
    <row r="263" spans="1:8" ht="15">
      <c r="A263" s="7">
        <v>262</v>
      </c>
      <c r="B263" s="2" t="s">
        <v>190</v>
      </c>
      <c r="C263" s="3">
        <v>138000</v>
      </c>
      <c r="D263" s="3">
        <v>88000</v>
      </c>
      <c r="E263" s="9" t="s">
        <v>27</v>
      </c>
      <c r="F263" s="4">
        <v>45779</v>
      </c>
      <c r="G263" s="6" t="s">
        <v>637</v>
      </c>
      <c r="H263" s="4">
        <v>45782</v>
      </c>
    </row>
    <row r="264" spans="1:8" ht="15">
      <c r="A264" s="7">
        <v>263</v>
      </c>
      <c r="B264" s="2" t="s">
        <v>639</v>
      </c>
      <c r="C264" s="3">
        <v>83000</v>
      </c>
      <c r="D264" s="3">
        <v>23000</v>
      </c>
      <c r="E264" s="9" t="s">
        <v>61</v>
      </c>
      <c r="F264" s="4">
        <v>45778</v>
      </c>
      <c r="G264" s="6" t="s">
        <v>638</v>
      </c>
      <c r="H264" s="4">
        <v>45781</v>
      </c>
    </row>
    <row r="265" spans="1:8" ht="15">
      <c r="A265" s="7">
        <v>264</v>
      </c>
      <c r="B265" s="2" t="s">
        <v>640</v>
      </c>
      <c r="C265" s="3">
        <v>183800</v>
      </c>
      <c r="D265" s="3">
        <v>91900</v>
      </c>
      <c r="E265" s="9" t="s">
        <v>24</v>
      </c>
      <c r="F265" s="4">
        <v>45778</v>
      </c>
      <c r="G265" s="6" t="s">
        <v>641</v>
      </c>
      <c r="H265" s="4">
        <v>45782</v>
      </c>
    </row>
    <row r="266" spans="1:8" ht="15">
      <c r="A266" s="7">
        <v>265</v>
      </c>
      <c r="B266" s="2" t="s">
        <v>644</v>
      </c>
      <c r="C266" s="3">
        <v>64999</v>
      </c>
      <c r="D266" s="3">
        <v>4999</v>
      </c>
      <c r="E266" s="9" t="s">
        <v>643</v>
      </c>
      <c r="F266" s="4">
        <v>45783</v>
      </c>
      <c r="G266" s="6" t="s">
        <v>642</v>
      </c>
      <c r="H266" s="4">
        <v>45785</v>
      </c>
    </row>
    <row r="267" spans="1:8" ht="15">
      <c r="A267" s="7">
        <v>266</v>
      </c>
      <c r="B267" s="2" t="s">
        <v>9</v>
      </c>
      <c r="C267" s="3">
        <v>83600</v>
      </c>
      <c r="D267" s="3">
        <v>23600</v>
      </c>
      <c r="E267" s="9" t="s">
        <v>49</v>
      </c>
      <c r="F267" s="4">
        <v>45782</v>
      </c>
      <c r="G267" s="6" t="s">
        <v>645</v>
      </c>
      <c r="H267" s="4">
        <v>45785</v>
      </c>
    </row>
    <row r="268" spans="1:8" ht="15">
      <c r="A268" s="7">
        <v>267</v>
      </c>
      <c r="B268" s="2" t="s">
        <v>647</v>
      </c>
      <c r="C268" s="3">
        <v>59500</v>
      </c>
      <c r="D268" s="3">
        <v>0</v>
      </c>
      <c r="E268" s="9" t="s">
        <v>68</v>
      </c>
      <c r="F268" s="4">
        <v>45783</v>
      </c>
      <c r="G268" s="6" t="s">
        <v>646</v>
      </c>
      <c r="H268" s="4">
        <v>45786</v>
      </c>
    </row>
    <row r="269" spans="1:8" ht="15">
      <c r="A269" s="7">
        <v>268</v>
      </c>
      <c r="B269" s="2" t="s">
        <v>625</v>
      </c>
      <c r="C269" s="3">
        <v>68400</v>
      </c>
      <c r="D269" s="3">
        <v>0</v>
      </c>
      <c r="E269" s="9" t="s">
        <v>25</v>
      </c>
      <c r="F269" s="4">
        <v>45786</v>
      </c>
      <c r="G269" s="6" t="s">
        <v>648</v>
      </c>
      <c r="H269" s="4">
        <v>45789</v>
      </c>
    </row>
    <row r="270" spans="1:8" ht="15">
      <c r="A270" s="7">
        <v>269</v>
      </c>
      <c r="B270" s="2" t="s">
        <v>132</v>
      </c>
      <c r="C270" s="3">
        <v>55000</v>
      </c>
      <c r="D270" s="3">
        <v>0</v>
      </c>
      <c r="E270" s="9" t="s">
        <v>127</v>
      </c>
      <c r="F270" s="4">
        <v>45786</v>
      </c>
      <c r="G270" s="6" t="s">
        <v>649</v>
      </c>
      <c r="H270" s="4">
        <v>45788</v>
      </c>
    </row>
    <row r="271" spans="1:8" ht="15">
      <c r="A271" s="7">
        <v>270</v>
      </c>
      <c r="B271" s="2" t="s">
        <v>38</v>
      </c>
      <c r="C271" s="3">
        <v>69000</v>
      </c>
      <c r="D271" s="3">
        <v>9000</v>
      </c>
      <c r="E271" s="9" t="s">
        <v>83</v>
      </c>
      <c r="F271" s="4">
        <v>45785</v>
      </c>
      <c r="G271" s="6" t="s">
        <v>650</v>
      </c>
      <c r="H271" s="4" t="s">
        <v>10</v>
      </c>
    </row>
    <row r="272" spans="1:8" ht="15">
      <c r="A272" s="7">
        <v>271</v>
      </c>
      <c r="B272" s="2" t="s">
        <v>606</v>
      </c>
      <c r="C272" s="3">
        <v>61200</v>
      </c>
      <c r="D272" s="3">
        <v>1200</v>
      </c>
      <c r="E272" s="9" t="s">
        <v>36</v>
      </c>
      <c r="F272" s="4">
        <v>45785</v>
      </c>
      <c r="G272" s="6" t="s">
        <v>651</v>
      </c>
      <c r="H272" s="4" t="s">
        <v>10</v>
      </c>
    </row>
    <row r="273" spans="1:8" ht="15">
      <c r="A273" s="7">
        <v>272</v>
      </c>
      <c r="B273" s="2" t="s">
        <v>47</v>
      </c>
      <c r="C273" s="3">
        <v>84900</v>
      </c>
      <c r="D273" s="3">
        <v>0</v>
      </c>
      <c r="E273" s="9" t="s">
        <v>535</v>
      </c>
      <c r="F273" s="4">
        <v>45785</v>
      </c>
      <c r="G273" s="6" t="s">
        <v>652</v>
      </c>
      <c r="H273" s="4">
        <v>45789</v>
      </c>
    </row>
    <row r="274" spans="1:8" ht="15">
      <c r="A274" s="7">
        <v>273</v>
      </c>
      <c r="B274" s="2" t="s">
        <v>179</v>
      </c>
      <c r="C274" s="3">
        <v>126000</v>
      </c>
      <c r="D274" s="3">
        <v>66000</v>
      </c>
      <c r="E274" s="9" t="s">
        <v>77</v>
      </c>
      <c r="F274" s="4">
        <v>45789</v>
      </c>
      <c r="G274" s="6" t="s">
        <v>653</v>
      </c>
      <c r="H274" s="4">
        <v>45792</v>
      </c>
    </row>
    <row r="275" spans="1:8" ht="15">
      <c r="A275" s="7">
        <v>274</v>
      </c>
      <c r="B275" s="2" t="s">
        <v>65</v>
      </c>
      <c r="C275" s="3">
        <v>70800</v>
      </c>
      <c r="D275" s="3">
        <v>10800</v>
      </c>
      <c r="E275" s="9" t="s">
        <v>186</v>
      </c>
      <c r="F275" s="4">
        <v>45788</v>
      </c>
      <c r="G275" s="6" t="s">
        <v>654</v>
      </c>
      <c r="H275" s="4">
        <v>45791</v>
      </c>
    </row>
    <row r="276" spans="1:8" ht="15">
      <c r="A276" s="7">
        <v>275</v>
      </c>
      <c r="B276" s="2" t="s">
        <v>606</v>
      </c>
      <c r="C276" s="3">
        <v>62900</v>
      </c>
      <c r="D276" s="3">
        <v>2900</v>
      </c>
      <c r="E276" s="9" t="s">
        <v>15</v>
      </c>
      <c r="F276" s="4">
        <v>45788</v>
      </c>
      <c r="G276" s="6" t="s">
        <v>655</v>
      </c>
      <c r="H276" s="4">
        <v>45790</v>
      </c>
    </row>
    <row r="277" spans="1:8" ht="15">
      <c r="A277" s="7">
        <v>276</v>
      </c>
      <c r="B277" s="2" t="s">
        <v>179</v>
      </c>
      <c r="C277" s="3">
        <v>82000</v>
      </c>
      <c r="D277" s="3">
        <v>22000</v>
      </c>
      <c r="E277" s="9" t="s">
        <v>116</v>
      </c>
      <c r="F277" s="4">
        <v>45788</v>
      </c>
      <c r="G277" s="6" t="s">
        <v>656</v>
      </c>
      <c r="H277" s="4">
        <v>45791</v>
      </c>
    </row>
    <row r="278" spans="1:8" ht="15">
      <c r="A278" s="7">
        <v>277</v>
      </c>
      <c r="B278" s="2" t="s">
        <v>28</v>
      </c>
      <c r="C278" s="3">
        <v>58800</v>
      </c>
      <c r="D278" s="3">
        <v>0</v>
      </c>
      <c r="E278" s="9" t="s">
        <v>658</v>
      </c>
      <c r="F278" s="4">
        <v>45787</v>
      </c>
      <c r="G278" s="6" t="s">
        <v>657</v>
      </c>
      <c r="H278" s="4">
        <v>45789</v>
      </c>
    </row>
    <row r="279" spans="1:8" ht="15">
      <c r="A279" s="7">
        <v>278</v>
      </c>
      <c r="B279" s="2" t="s">
        <v>59</v>
      </c>
      <c r="C279" s="3">
        <v>60000</v>
      </c>
      <c r="D279" s="3">
        <v>0</v>
      </c>
      <c r="E279" s="9" t="s">
        <v>15</v>
      </c>
      <c r="F279" s="4">
        <v>45786</v>
      </c>
      <c r="G279" s="6" t="s">
        <v>659</v>
      </c>
      <c r="H279" s="4">
        <v>45789</v>
      </c>
    </row>
    <row r="280" spans="1:8" ht="15">
      <c r="A280" s="7">
        <v>279</v>
      </c>
      <c r="B280" s="2" t="s">
        <v>28</v>
      </c>
      <c r="C280" s="3">
        <v>58800</v>
      </c>
      <c r="D280" s="3">
        <v>0</v>
      </c>
      <c r="E280" s="9" t="s">
        <v>167</v>
      </c>
      <c r="F280" s="4">
        <v>45789</v>
      </c>
      <c r="G280" s="6" t="s">
        <v>660</v>
      </c>
      <c r="H280" s="4">
        <v>45792</v>
      </c>
    </row>
    <row r="281" spans="1:8" ht="15">
      <c r="A281" s="7">
        <v>280</v>
      </c>
      <c r="B281" s="2" t="s">
        <v>111</v>
      </c>
      <c r="C281" s="3">
        <v>64500</v>
      </c>
      <c r="D281" s="3">
        <v>4500</v>
      </c>
      <c r="E281" s="9" t="s">
        <v>25</v>
      </c>
      <c r="F281" s="4">
        <v>45790</v>
      </c>
      <c r="G281" s="6" t="s">
        <v>661</v>
      </c>
      <c r="H281" s="4">
        <v>45793</v>
      </c>
    </row>
    <row r="282" spans="1:8" ht="15">
      <c r="A282" s="7">
        <v>281</v>
      </c>
      <c r="B282" s="2" t="s">
        <v>663</v>
      </c>
      <c r="C282" s="3">
        <v>60000</v>
      </c>
      <c r="D282" s="3">
        <v>10000</v>
      </c>
      <c r="E282" s="9" t="s">
        <v>17</v>
      </c>
      <c r="F282" s="4">
        <v>45793</v>
      </c>
      <c r="G282" s="6" t="s">
        <v>662</v>
      </c>
      <c r="H282" s="4">
        <v>45795</v>
      </c>
    </row>
    <row r="283" spans="1:8" ht="15">
      <c r="A283" s="7">
        <v>282</v>
      </c>
      <c r="B283" s="2" t="s">
        <v>665</v>
      </c>
      <c r="C283" s="3">
        <v>74000</v>
      </c>
      <c r="D283" s="3">
        <v>14000</v>
      </c>
      <c r="E283" s="9" t="s">
        <v>158</v>
      </c>
      <c r="F283" s="4">
        <v>45793</v>
      </c>
      <c r="G283" s="6" t="s">
        <v>664</v>
      </c>
      <c r="H283" s="4">
        <v>45795</v>
      </c>
    </row>
    <row r="284" spans="1:8" ht="15">
      <c r="A284" s="7">
        <v>283</v>
      </c>
      <c r="B284" s="2" t="s">
        <v>219</v>
      </c>
      <c r="C284" s="3">
        <v>62072</v>
      </c>
      <c r="D284" s="3">
        <v>12072</v>
      </c>
      <c r="E284" s="9" t="s">
        <v>141</v>
      </c>
      <c r="F284" s="4">
        <v>45792</v>
      </c>
      <c r="G284" s="6" t="s">
        <v>666</v>
      </c>
      <c r="H284" s="4">
        <v>45796</v>
      </c>
    </row>
    <row r="285" spans="1:8" ht="15">
      <c r="A285" s="7">
        <v>284</v>
      </c>
      <c r="B285" s="2" t="s">
        <v>28</v>
      </c>
      <c r="C285" s="3">
        <v>59500</v>
      </c>
      <c r="D285" s="3">
        <v>0</v>
      </c>
      <c r="E285" s="9" t="s">
        <v>115</v>
      </c>
      <c r="F285" s="4">
        <v>45795</v>
      </c>
      <c r="G285" s="6" t="s">
        <v>667</v>
      </c>
      <c r="H285" s="4">
        <v>45798</v>
      </c>
    </row>
    <row r="286" spans="1:8" ht="15">
      <c r="A286" s="7">
        <v>285</v>
      </c>
      <c r="B286" s="2" t="s">
        <v>669</v>
      </c>
      <c r="C286" s="3">
        <v>65900</v>
      </c>
      <c r="D286" s="3">
        <v>5900</v>
      </c>
      <c r="E286" s="9" t="s">
        <v>614</v>
      </c>
      <c r="F286" s="4">
        <v>45795</v>
      </c>
      <c r="G286" s="6" t="s">
        <v>668</v>
      </c>
      <c r="H286" s="4">
        <v>45798</v>
      </c>
    </row>
    <row r="287" spans="1:8" ht="15">
      <c r="A287" s="7">
        <v>286</v>
      </c>
      <c r="B287" s="2" t="s">
        <v>671</v>
      </c>
      <c r="C287" s="3">
        <v>68000</v>
      </c>
      <c r="D287" s="3">
        <v>8000</v>
      </c>
      <c r="E287" s="9" t="s">
        <v>175</v>
      </c>
      <c r="F287" s="4">
        <v>45794</v>
      </c>
      <c r="G287" s="6" t="s">
        <v>670</v>
      </c>
      <c r="H287" s="4">
        <v>45797</v>
      </c>
    </row>
    <row r="288" spans="1:8" ht="15">
      <c r="A288" s="7">
        <v>287</v>
      </c>
      <c r="B288" s="2" t="s">
        <v>53</v>
      </c>
      <c r="C288" s="3">
        <v>63000</v>
      </c>
      <c r="D288" s="3">
        <v>3000</v>
      </c>
      <c r="E288" s="9" t="s">
        <v>72</v>
      </c>
      <c r="F288" s="4">
        <v>45794</v>
      </c>
      <c r="G288" s="6" t="s">
        <v>672</v>
      </c>
      <c r="H288" s="4">
        <v>45797</v>
      </c>
    </row>
    <row r="289" spans="1:8" ht="15">
      <c r="A289" s="7">
        <v>288</v>
      </c>
      <c r="B289" s="2" t="s">
        <v>601</v>
      </c>
      <c r="C289" s="3">
        <v>56000</v>
      </c>
      <c r="D289" s="3">
        <v>0</v>
      </c>
      <c r="E289" s="9" t="s">
        <v>398</v>
      </c>
      <c r="F289" s="4">
        <v>45796</v>
      </c>
      <c r="G289" s="6" t="s">
        <v>673</v>
      </c>
      <c r="H289" s="4">
        <v>45800</v>
      </c>
    </row>
    <row r="290" spans="1:8" ht="15">
      <c r="A290" s="7">
        <v>289</v>
      </c>
      <c r="B290" s="2" t="s">
        <v>179</v>
      </c>
      <c r="C290" s="3">
        <v>79000</v>
      </c>
      <c r="D290" s="3">
        <v>0</v>
      </c>
      <c r="E290" s="9" t="s">
        <v>18</v>
      </c>
      <c r="F290" s="4">
        <v>45796</v>
      </c>
      <c r="G290" s="6" t="s">
        <v>674</v>
      </c>
      <c r="H290" s="4">
        <v>45799</v>
      </c>
    </row>
    <row r="291" spans="1:8" ht="15">
      <c r="A291" s="7">
        <v>290</v>
      </c>
      <c r="B291" s="2" t="s">
        <v>165</v>
      </c>
      <c r="C291" s="3">
        <v>65000</v>
      </c>
      <c r="D291" s="3">
        <v>0</v>
      </c>
      <c r="E291" s="9" t="s">
        <v>68</v>
      </c>
      <c r="F291" s="4">
        <v>45797</v>
      </c>
      <c r="G291" s="6" t="s">
        <v>675</v>
      </c>
      <c r="H291" s="4">
        <v>45799</v>
      </c>
    </row>
    <row r="292" spans="1:8" ht="15">
      <c r="A292" s="7">
        <v>291</v>
      </c>
      <c r="B292" s="2" t="s">
        <v>676</v>
      </c>
      <c r="C292" s="3">
        <v>83000</v>
      </c>
      <c r="D292" s="3">
        <v>23000</v>
      </c>
      <c r="E292" s="9" t="s">
        <v>62</v>
      </c>
      <c r="F292" s="4">
        <v>45801</v>
      </c>
      <c r="G292" s="6" t="s">
        <v>677</v>
      </c>
      <c r="H292" s="4">
        <v>45803</v>
      </c>
    </row>
    <row r="293" spans="1:8" ht="15">
      <c r="A293" s="7">
        <v>292</v>
      </c>
      <c r="B293" s="2" t="s">
        <v>103</v>
      </c>
      <c r="C293" s="3">
        <v>65000</v>
      </c>
      <c r="D293" s="3">
        <v>5000</v>
      </c>
      <c r="E293" s="9" t="s">
        <v>679</v>
      </c>
      <c r="F293" s="4">
        <v>45799</v>
      </c>
      <c r="G293" s="6" t="s">
        <v>678</v>
      </c>
      <c r="H293" s="4">
        <v>45802</v>
      </c>
    </row>
    <row r="294" spans="1:8" ht="15">
      <c r="A294" s="7">
        <v>293</v>
      </c>
      <c r="B294" s="2" t="s">
        <v>80</v>
      </c>
      <c r="C294" s="3">
        <v>559000</v>
      </c>
      <c r="D294" s="3">
        <v>0</v>
      </c>
      <c r="E294" s="9" t="s">
        <v>24</v>
      </c>
      <c r="F294" s="4">
        <v>45799</v>
      </c>
      <c r="G294" s="6" t="s">
        <v>680</v>
      </c>
      <c r="H294" s="4">
        <v>45801</v>
      </c>
    </row>
    <row r="295" spans="1:8" ht="15">
      <c r="A295" s="7">
        <v>294</v>
      </c>
      <c r="B295" s="2" t="s">
        <v>682</v>
      </c>
      <c r="C295" s="3">
        <v>131000</v>
      </c>
      <c r="D295" s="3">
        <v>0</v>
      </c>
      <c r="E295" s="9" t="s">
        <v>72</v>
      </c>
      <c r="F295" s="4">
        <v>45799</v>
      </c>
      <c r="G295" s="6" t="s">
        <v>681</v>
      </c>
      <c r="H295" s="4">
        <v>45802</v>
      </c>
    </row>
    <row r="296" spans="1:8" ht="15">
      <c r="A296" s="7">
        <v>295</v>
      </c>
      <c r="B296" s="2" t="s">
        <v>80</v>
      </c>
      <c r="C296" s="3">
        <v>61400</v>
      </c>
      <c r="D296" s="3">
        <v>1400</v>
      </c>
      <c r="E296" s="9" t="s">
        <v>170</v>
      </c>
      <c r="F296" s="4">
        <v>45803</v>
      </c>
      <c r="G296" s="6" t="s">
        <v>683</v>
      </c>
      <c r="H296" s="4">
        <v>45807</v>
      </c>
    </row>
    <row r="297" spans="1:8" ht="15">
      <c r="A297" s="7">
        <v>296</v>
      </c>
      <c r="B297" s="2" t="s">
        <v>686</v>
      </c>
      <c r="C297" s="3">
        <v>60000</v>
      </c>
      <c r="D297" s="3">
        <v>0</v>
      </c>
      <c r="E297" s="9" t="s">
        <v>685</v>
      </c>
      <c r="F297" s="4">
        <v>45803</v>
      </c>
      <c r="G297" s="6" t="s">
        <v>684</v>
      </c>
      <c r="H297" s="4">
        <v>45806</v>
      </c>
    </row>
    <row r="298" spans="1:8" ht="15">
      <c r="A298" s="7">
        <v>297</v>
      </c>
      <c r="B298" s="2" t="s">
        <v>80</v>
      </c>
      <c r="C298" s="3">
        <v>60000</v>
      </c>
      <c r="D298" s="3">
        <v>0</v>
      </c>
      <c r="E298" s="9" t="s">
        <v>158</v>
      </c>
      <c r="F298" s="4">
        <v>45803</v>
      </c>
      <c r="G298" s="6" t="s">
        <v>687</v>
      </c>
      <c r="H298" s="4">
        <v>45807</v>
      </c>
    </row>
    <row r="299" spans="1:8" ht="15">
      <c r="A299" s="7">
        <v>298</v>
      </c>
      <c r="B299" s="2" t="s">
        <v>606</v>
      </c>
      <c r="C299" s="3">
        <v>60000</v>
      </c>
      <c r="D299" s="3">
        <v>0</v>
      </c>
      <c r="E299" s="9" t="s">
        <v>689</v>
      </c>
      <c r="F299" s="4">
        <v>45802</v>
      </c>
      <c r="G299" s="6" t="s">
        <v>688</v>
      </c>
      <c r="H299" s="4">
        <v>45806</v>
      </c>
    </row>
    <row r="300" spans="1:8" ht="15">
      <c r="A300" s="7">
        <v>299</v>
      </c>
      <c r="B300" s="2" t="s">
        <v>59</v>
      </c>
      <c r="C300" s="3">
        <v>60000</v>
      </c>
      <c r="D300" s="3">
        <v>0</v>
      </c>
      <c r="E300" s="9" t="s">
        <v>163</v>
      </c>
      <c r="F300" s="4">
        <v>45802</v>
      </c>
      <c r="G300" s="6" t="s">
        <v>693</v>
      </c>
      <c r="H300" s="4">
        <v>45806</v>
      </c>
    </row>
    <row r="301" spans="1:8" ht="15">
      <c r="A301" s="7">
        <v>300</v>
      </c>
      <c r="B301" s="2" t="s">
        <v>676</v>
      </c>
      <c r="C301" s="3">
        <v>83000</v>
      </c>
      <c r="D301" s="3">
        <v>23000</v>
      </c>
      <c r="E301" s="9" t="s">
        <v>348</v>
      </c>
      <c r="F301" s="4">
        <v>45802</v>
      </c>
      <c r="G301" s="6" t="s">
        <v>690</v>
      </c>
      <c r="H301" s="4">
        <v>45805</v>
      </c>
    </row>
    <row r="302" spans="1:8" ht="15">
      <c r="A302" s="7">
        <v>301</v>
      </c>
      <c r="B302" s="2" t="s">
        <v>692</v>
      </c>
      <c r="C302" s="3">
        <v>149688</v>
      </c>
      <c r="D302" s="3">
        <v>0</v>
      </c>
      <c r="E302" s="9" t="s">
        <v>174</v>
      </c>
      <c r="F302" s="4">
        <v>45802</v>
      </c>
      <c r="G302" s="6" t="s">
        <v>691</v>
      </c>
      <c r="H302" s="4">
        <v>45807</v>
      </c>
    </row>
    <row r="303" spans="1:8" ht="15">
      <c r="A303" s="7">
        <v>302</v>
      </c>
      <c r="B303" s="2" t="s">
        <v>28</v>
      </c>
      <c r="C303" s="3">
        <v>60000</v>
      </c>
      <c r="D303" s="3">
        <v>0</v>
      </c>
      <c r="E303" s="9" t="s">
        <v>46</v>
      </c>
      <c r="F303" s="4">
        <v>45807</v>
      </c>
      <c r="G303" s="6" t="s">
        <v>694</v>
      </c>
      <c r="H303" s="4">
        <v>45810</v>
      </c>
    </row>
    <row r="304" spans="1:8" ht="15">
      <c r="A304" s="7">
        <v>303</v>
      </c>
      <c r="B304" s="2" t="s">
        <v>59</v>
      </c>
      <c r="C304" s="3">
        <v>60000</v>
      </c>
      <c r="D304" s="3">
        <v>0</v>
      </c>
      <c r="E304" s="9" t="s">
        <v>696</v>
      </c>
      <c r="F304" s="4">
        <v>45806</v>
      </c>
      <c r="G304" s="6" t="s">
        <v>695</v>
      </c>
      <c r="H304" s="4">
        <v>45810</v>
      </c>
    </row>
    <row r="305" spans="1:8" ht="15">
      <c r="A305" s="7">
        <v>304</v>
      </c>
      <c r="B305" s="2" t="s">
        <v>698</v>
      </c>
      <c r="C305" s="3">
        <v>59500</v>
      </c>
      <c r="D305" s="3">
        <v>0</v>
      </c>
      <c r="E305" s="9" t="s">
        <v>34</v>
      </c>
      <c r="F305" s="4">
        <v>45806</v>
      </c>
      <c r="G305" s="6" t="s">
        <v>697</v>
      </c>
      <c r="H305" s="4">
        <v>45809</v>
      </c>
    </row>
    <row r="306" spans="1:8" ht="15">
      <c r="A306" s="7">
        <v>305</v>
      </c>
      <c r="B306" s="2" t="s">
        <v>133</v>
      </c>
      <c r="C306" s="3">
        <v>60000</v>
      </c>
      <c r="D306" s="3">
        <v>0</v>
      </c>
      <c r="E306" s="9" t="s">
        <v>12</v>
      </c>
      <c r="F306" s="4">
        <v>45809</v>
      </c>
      <c r="G306" s="6" t="s">
        <v>699</v>
      </c>
      <c r="H306" s="4">
        <v>45812</v>
      </c>
    </row>
    <row r="307" spans="1:8" ht="15">
      <c r="A307" s="7">
        <v>306</v>
      </c>
      <c r="B307" s="2" t="s">
        <v>487</v>
      </c>
      <c r="C307" s="3">
        <v>61000</v>
      </c>
      <c r="D307" s="3">
        <v>1000</v>
      </c>
      <c r="E307" s="9" t="s">
        <v>37</v>
      </c>
      <c r="F307" s="4">
        <v>45808</v>
      </c>
      <c r="G307" s="6" t="s">
        <v>700</v>
      </c>
      <c r="H307" s="4">
        <v>45812</v>
      </c>
    </row>
    <row r="308" spans="1:8" ht="15">
      <c r="A308" s="7">
        <v>307</v>
      </c>
      <c r="B308" s="2" t="s">
        <v>80</v>
      </c>
      <c r="C308" s="3">
        <v>55900</v>
      </c>
      <c r="D308" s="3">
        <v>0</v>
      </c>
      <c r="E308" s="9" t="s">
        <v>87</v>
      </c>
      <c r="F308" s="4">
        <v>45808</v>
      </c>
      <c r="G308" s="6" t="s">
        <v>701</v>
      </c>
      <c r="H308" s="4">
        <v>45811</v>
      </c>
    </row>
    <row r="309" spans="1:8" ht="15">
      <c r="A309" s="7">
        <v>308</v>
      </c>
      <c r="B309" s="2" t="s">
        <v>459</v>
      </c>
      <c r="C309" s="3">
        <v>63700</v>
      </c>
      <c r="D309" s="3">
        <v>3700</v>
      </c>
      <c r="E309" s="9" t="s">
        <v>35</v>
      </c>
      <c r="F309" s="4">
        <v>45807</v>
      </c>
      <c r="G309" s="6" t="s">
        <v>702</v>
      </c>
      <c r="H309" s="4">
        <v>45810</v>
      </c>
    </row>
    <row r="310" spans="1:8" ht="15">
      <c r="A310" s="7">
        <v>309</v>
      </c>
      <c r="B310" s="2" t="s">
        <v>705</v>
      </c>
      <c r="C310" s="3">
        <v>65000</v>
      </c>
      <c r="D310" s="3">
        <v>5000</v>
      </c>
      <c r="E310" s="9" t="s">
        <v>79</v>
      </c>
      <c r="F310" s="4">
        <v>45814</v>
      </c>
      <c r="G310" s="6" t="s">
        <v>704</v>
      </c>
      <c r="H310" s="4">
        <v>45817</v>
      </c>
    </row>
    <row r="311" spans="1:8" ht="15">
      <c r="A311" s="7">
        <v>310</v>
      </c>
      <c r="B311" s="2" t="s">
        <v>28</v>
      </c>
      <c r="C311" s="3">
        <v>59400</v>
      </c>
      <c r="D311" s="3">
        <v>0</v>
      </c>
      <c r="E311" s="9" t="s">
        <v>137</v>
      </c>
      <c r="F311" s="4">
        <v>45812</v>
      </c>
      <c r="G311" s="6" t="s">
        <v>706</v>
      </c>
      <c r="H311" s="4">
        <v>45815</v>
      </c>
    </row>
    <row r="312" spans="1:8" ht="15">
      <c r="A312" s="7">
        <v>311</v>
      </c>
      <c r="B312" s="2" t="s">
        <v>45</v>
      </c>
      <c r="C312" s="3">
        <v>62000</v>
      </c>
      <c r="D312" s="3">
        <v>2000</v>
      </c>
      <c r="E312" s="9" t="s">
        <v>209</v>
      </c>
      <c r="F312" s="4">
        <v>45816</v>
      </c>
      <c r="G312" s="6" t="s">
        <v>707</v>
      </c>
      <c r="H312" s="4">
        <v>45819</v>
      </c>
    </row>
    <row r="313" spans="1:8" ht="15">
      <c r="A313" s="7">
        <v>312</v>
      </c>
      <c r="B313" s="2" t="s">
        <v>710</v>
      </c>
      <c r="C313" s="3">
        <v>67620</v>
      </c>
      <c r="D313" s="3">
        <v>7620</v>
      </c>
      <c r="E313" s="9" t="s">
        <v>709</v>
      </c>
      <c r="F313" s="4">
        <v>45816</v>
      </c>
      <c r="G313" s="6" t="s">
        <v>708</v>
      </c>
      <c r="H313" s="4">
        <v>45819</v>
      </c>
    </row>
    <row r="314" spans="1:8" ht="15">
      <c r="A314" s="7">
        <v>313</v>
      </c>
      <c r="B314" s="2" t="s">
        <v>712</v>
      </c>
      <c r="C314" s="3">
        <v>61111</v>
      </c>
      <c r="D314" s="3">
        <v>1111</v>
      </c>
      <c r="E314" s="9" t="s">
        <v>183</v>
      </c>
      <c r="F314" s="4">
        <v>45815</v>
      </c>
      <c r="G314" s="6" t="s">
        <v>711</v>
      </c>
      <c r="H314" s="4">
        <v>45819</v>
      </c>
    </row>
    <row r="315" spans="1:8" ht="15">
      <c r="A315" s="7">
        <v>314</v>
      </c>
      <c r="B315" s="2" t="s">
        <v>716</v>
      </c>
      <c r="C315" s="3">
        <v>144000</v>
      </c>
      <c r="D315" s="3">
        <f>73000*0</f>
        <v>0</v>
      </c>
      <c r="E315" s="9" t="s">
        <v>24</v>
      </c>
      <c r="F315" s="4">
        <v>45816</v>
      </c>
      <c r="G315" s="6" t="s">
        <v>715</v>
      </c>
      <c r="H315" s="4">
        <v>45818</v>
      </c>
    </row>
    <row r="316" spans="1:8" ht="15">
      <c r="A316" s="7">
        <v>315</v>
      </c>
      <c r="B316" s="2" t="s">
        <v>717</v>
      </c>
      <c r="C316" s="3">
        <v>135000</v>
      </c>
      <c r="D316" s="3">
        <f>64000*0</f>
        <v>0</v>
      </c>
      <c r="E316" s="9" t="s">
        <v>24</v>
      </c>
      <c r="F316" s="4">
        <v>45813</v>
      </c>
      <c r="G316" s="6" t="s">
        <v>715</v>
      </c>
      <c r="H316" s="4">
        <v>45815</v>
      </c>
    </row>
    <row r="317" spans="1:8" ht="15">
      <c r="A317" s="7">
        <v>316</v>
      </c>
      <c r="B317" s="2" t="s">
        <v>133</v>
      </c>
      <c r="C317" s="3">
        <v>58800</v>
      </c>
      <c r="D317" s="3">
        <v>0</v>
      </c>
      <c r="E317" s="9" t="s">
        <v>40</v>
      </c>
      <c r="F317" s="4">
        <v>45819</v>
      </c>
      <c r="G317" s="6" t="s">
        <v>718</v>
      </c>
      <c r="H317" s="4" t="s">
        <v>144</v>
      </c>
    </row>
    <row r="318" spans="1:8" ht="15">
      <c r="A318" s="7">
        <v>317</v>
      </c>
      <c r="B318" s="2" t="s">
        <v>165</v>
      </c>
      <c r="C318" s="3">
        <v>62000</v>
      </c>
      <c r="D318" s="3">
        <v>2000</v>
      </c>
      <c r="E318" s="9" t="s">
        <v>61</v>
      </c>
      <c r="F318" s="4">
        <v>45819</v>
      </c>
      <c r="G318" s="6" t="s">
        <v>719</v>
      </c>
      <c r="H318" s="4">
        <v>45822</v>
      </c>
    </row>
    <row r="319" spans="1:8" ht="15">
      <c r="A319" s="7">
        <v>318</v>
      </c>
      <c r="B319" s="2" t="s">
        <v>716</v>
      </c>
      <c r="C319" s="3">
        <v>136000</v>
      </c>
      <c r="D319" s="3">
        <v>71000</v>
      </c>
      <c r="E319" s="9" t="s">
        <v>24</v>
      </c>
      <c r="F319" s="4">
        <v>45820</v>
      </c>
      <c r="G319" s="6" t="s">
        <v>715</v>
      </c>
      <c r="H319" s="4">
        <v>45825</v>
      </c>
    </row>
    <row r="320" spans="1:8" ht="15">
      <c r="A320" s="7">
        <v>319</v>
      </c>
      <c r="B320" s="2" t="s">
        <v>721</v>
      </c>
      <c r="C320" s="3">
        <v>63000</v>
      </c>
      <c r="D320" s="3">
        <v>3000</v>
      </c>
      <c r="E320" s="9" t="s">
        <v>88</v>
      </c>
      <c r="F320" s="4">
        <v>45818</v>
      </c>
      <c r="G320" s="6" t="s">
        <v>720</v>
      </c>
      <c r="H320" s="4">
        <v>45821</v>
      </c>
    </row>
    <row r="321" spans="1:8" ht="15">
      <c r="A321" s="7">
        <v>320</v>
      </c>
      <c r="B321" s="2" t="s">
        <v>459</v>
      </c>
      <c r="C321" s="3">
        <v>63000</v>
      </c>
      <c r="D321" s="3">
        <v>3000</v>
      </c>
      <c r="E321" s="9" t="s">
        <v>66</v>
      </c>
      <c r="F321" s="4">
        <v>45818</v>
      </c>
      <c r="G321" s="6" t="s">
        <v>722</v>
      </c>
      <c r="H321" s="4">
        <v>45820</v>
      </c>
    </row>
    <row r="322" spans="1:8" ht="15">
      <c r="A322" s="7">
        <v>321</v>
      </c>
      <c r="B322" s="2" t="s">
        <v>165</v>
      </c>
      <c r="C322" s="3">
        <v>63000</v>
      </c>
      <c r="D322" s="3">
        <v>3000</v>
      </c>
      <c r="E322" s="9" t="s">
        <v>209</v>
      </c>
      <c r="F322" s="4">
        <v>45818</v>
      </c>
      <c r="G322" s="6" t="s">
        <v>723</v>
      </c>
      <c r="H322" s="4">
        <v>45821</v>
      </c>
    </row>
    <row r="323" spans="1:8" ht="15">
      <c r="A323" s="7">
        <v>322</v>
      </c>
      <c r="B323" s="2" t="s">
        <v>705</v>
      </c>
      <c r="C323" s="3">
        <v>76500</v>
      </c>
      <c r="D323" s="3">
        <v>16500</v>
      </c>
      <c r="E323" s="9" t="s">
        <v>51</v>
      </c>
      <c r="F323" s="4">
        <v>45818</v>
      </c>
      <c r="G323" s="6" t="s">
        <v>724</v>
      </c>
      <c r="H323" s="4">
        <v>45821</v>
      </c>
    </row>
    <row r="324" spans="1:8" ht="15">
      <c r="A324" s="7">
        <v>323</v>
      </c>
      <c r="B324" s="2" t="s">
        <v>47</v>
      </c>
      <c r="C324" s="3">
        <v>82000</v>
      </c>
      <c r="D324" s="3">
        <v>22000</v>
      </c>
      <c r="E324" s="9" t="s">
        <v>31</v>
      </c>
      <c r="F324" s="4">
        <v>45818</v>
      </c>
      <c r="G324" s="6" t="s">
        <v>725</v>
      </c>
      <c r="H324" s="4">
        <v>45821</v>
      </c>
    </row>
    <row r="325" spans="1:8" ht="15">
      <c r="A325" s="7">
        <v>324</v>
      </c>
      <c r="B325" s="2" t="s">
        <v>103</v>
      </c>
      <c r="C325" s="3">
        <v>65000</v>
      </c>
      <c r="D325" s="3">
        <v>5000</v>
      </c>
      <c r="E325" s="9" t="s">
        <v>30</v>
      </c>
      <c r="F325" s="4">
        <v>45821</v>
      </c>
      <c r="G325" s="6" t="s">
        <v>726</v>
      </c>
      <c r="H325" s="4">
        <v>45823</v>
      </c>
    </row>
    <row r="326" spans="1:8" ht="15">
      <c r="A326" s="7">
        <v>325</v>
      </c>
      <c r="B326" s="2" t="s">
        <v>705</v>
      </c>
      <c r="C326" s="3">
        <v>76500</v>
      </c>
      <c r="D326" s="3">
        <v>16500</v>
      </c>
      <c r="E326" s="9" t="s">
        <v>169</v>
      </c>
      <c r="F326" s="4">
        <v>45821</v>
      </c>
      <c r="G326" s="6" t="s">
        <v>727</v>
      </c>
      <c r="H326" s="4">
        <v>45824</v>
      </c>
    </row>
    <row r="327" spans="1:8" ht="15">
      <c r="A327" s="7">
        <v>326</v>
      </c>
      <c r="B327" s="2" t="s">
        <v>665</v>
      </c>
      <c r="C327" s="3">
        <v>63000</v>
      </c>
      <c r="D327" s="3">
        <v>3000</v>
      </c>
      <c r="E327" s="9" t="s">
        <v>99</v>
      </c>
      <c r="F327" s="4">
        <v>45820</v>
      </c>
      <c r="G327" s="6" t="s">
        <v>728</v>
      </c>
      <c r="H327" s="4">
        <v>45823</v>
      </c>
    </row>
    <row r="328" spans="1:8" ht="15">
      <c r="A328" s="7">
        <v>327</v>
      </c>
      <c r="B328" s="2" t="s">
        <v>45</v>
      </c>
      <c r="C328" s="3">
        <v>57400</v>
      </c>
      <c r="D328" s="3">
        <v>0</v>
      </c>
      <c r="E328" s="9" t="s">
        <v>86</v>
      </c>
      <c r="F328" s="4">
        <v>45822</v>
      </c>
      <c r="G328" s="6" t="s">
        <v>729</v>
      </c>
      <c r="H328" s="4">
        <v>45825</v>
      </c>
    </row>
    <row r="329" spans="1:8" ht="15">
      <c r="A329" s="7">
        <v>328</v>
      </c>
      <c r="B329" s="2" t="s">
        <v>705</v>
      </c>
      <c r="C329" s="3">
        <v>93580</v>
      </c>
      <c r="D329" s="3">
        <v>0</v>
      </c>
      <c r="E329" s="9" t="s">
        <v>135</v>
      </c>
      <c r="F329" s="4">
        <v>45824</v>
      </c>
      <c r="G329" s="6" t="s">
        <v>731</v>
      </c>
      <c r="H329" s="4">
        <v>45827</v>
      </c>
    </row>
    <row r="330" spans="1:8" ht="15">
      <c r="A330" s="7">
        <v>329</v>
      </c>
      <c r="B330" s="2" t="s">
        <v>47</v>
      </c>
      <c r="C330" s="3">
        <v>84900</v>
      </c>
      <c r="D330" s="3">
        <v>0</v>
      </c>
      <c r="E330" s="9" t="s">
        <v>158</v>
      </c>
      <c r="F330" s="4">
        <v>45824</v>
      </c>
      <c r="G330" s="6" t="s">
        <v>732</v>
      </c>
      <c r="H330" s="4">
        <v>45827</v>
      </c>
    </row>
    <row r="331" spans="1:8" ht="15">
      <c r="A331" s="7">
        <v>330</v>
      </c>
      <c r="B331" s="2" t="s">
        <v>65</v>
      </c>
      <c r="C331" s="3">
        <v>61686</v>
      </c>
      <c r="D331" s="3">
        <v>0</v>
      </c>
      <c r="E331" s="9" t="s">
        <v>101</v>
      </c>
      <c r="F331" s="4">
        <v>45823</v>
      </c>
      <c r="G331" s="6" t="s">
        <v>733</v>
      </c>
      <c r="H331" s="4">
        <v>45827</v>
      </c>
    </row>
    <row r="332" spans="1:8" ht="15">
      <c r="A332" s="7">
        <v>331</v>
      </c>
      <c r="B332" s="2" t="s">
        <v>705</v>
      </c>
      <c r="C332" s="3">
        <v>97000</v>
      </c>
      <c r="D332" s="3">
        <v>37000</v>
      </c>
      <c r="E332" s="9" t="s">
        <v>137</v>
      </c>
      <c r="F332" s="4">
        <v>45824</v>
      </c>
      <c r="G332" s="6" t="s">
        <v>734</v>
      </c>
      <c r="H332" s="4">
        <v>45827</v>
      </c>
    </row>
    <row r="333" spans="1:8" ht="15">
      <c r="A333" s="7">
        <v>332</v>
      </c>
      <c r="B333" s="2" t="s">
        <v>133</v>
      </c>
      <c r="C333" s="3">
        <v>60000</v>
      </c>
      <c r="D333" s="3">
        <v>0</v>
      </c>
      <c r="E333" s="9" t="s">
        <v>127</v>
      </c>
      <c r="F333" s="4">
        <v>45824</v>
      </c>
      <c r="G333" s="6" t="s">
        <v>735</v>
      </c>
      <c r="H333" s="4" t="s">
        <v>144</v>
      </c>
    </row>
    <row r="334" spans="1:8" ht="15">
      <c r="A334" s="7">
        <v>333</v>
      </c>
      <c r="B334" s="2" t="s">
        <v>45</v>
      </c>
      <c r="C334" s="3">
        <v>60000</v>
      </c>
      <c r="D334" s="3">
        <v>0</v>
      </c>
      <c r="E334" s="9" t="s">
        <v>91</v>
      </c>
      <c r="F334" s="4">
        <v>45824</v>
      </c>
      <c r="G334" s="6" t="s">
        <v>736</v>
      </c>
      <c r="H334" s="4">
        <v>45827</v>
      </c>
    </row>
    <row r="335" spans="1:8" ht="15">
      <c r="A335" s="7">
        <v>334</v>
      </c>
      <c r="B335" s="2" t="s">
        <v>59</v>
      </c>
      <c r="C335" s="3">
        <v>64000</v>
      </c>
      <c r="D335" s="3">
        <v>4000</v>
      </c>
      <c r="E335" s="9" t="s">
        <v>61</v>
      </c>
      <c r="F335" s="4">
        <v>45824</v>
      </c>
      <c r="G335" s="6" t="s">
        <v>737</v>
      </c>
      <c r="H335" s="4">
        <v>45826</v>
      </c>
    </row>
    <row r="336" spans="1:8" ht="15">
      <c r="A336" s="7">
        <v>335</v>
      </c>
      <c r="B336" s="2" t="s">
        <v>739</v>
      </c>
      <c r="C336" s="3">
        <v>76500</v>
      </c>
      <c r="D336" s="3">
        <v>16500</v>
      </c>
      <c r="E336" s="9" t="s">
        <v>147</v>
      </c>
      <c r="F336" s="4">
        <v>45826</v>
      </c>
      <c r="G336" s="6" t="s">
        <v>738</v>
      </c>
      <c r="H336" s="4">
        <v>45828</v>
      </c>
    </row>
    <row r="337" spans="1:15" ht="15">
      <c r="A337" s="7">
        <v>336</v>
      </c>
      <c r="B337" s="2" t="s">
        <v>165</v>
      </c>
      <c r="C337" s="3">
        <v>65900</v>
      </c>
      <c r="D337" s="3">
        <v>5900</v>
      </c>
      <c r="E337" s="9" t="s">
        <v>88</v>
      </c>
      <c r="F337" s="4">
        <v>45825</v>
      </c>
      <c r="G337" s="6" t="s">
        <v>740</v>
      </c>
      <c r="H337" s="4" t="s">
        <v>144</v>
      </c>
    </row>
    <row r="338" spans="1:15" ht="15">
      <c r="A338" s="7">
        <v>337</v>
      </c>
      <c r="B338" s="2" t="s">
        <v>165</v>
      </c>
      <c r="C338" s="3">
        <v>67000</v>
      </c>
      <c r="D338" s="3">
        <v>7000</v>
      </c>
      <c r="E338" s="9" t="s">
        <v>183</v>
      </c>
      <c r="F338" s="4">
        <v>45827</v>
      </c>
      <c r="G338" s="6" t="s">
        <v>741</v>
      </c>
      <c r="H338" s="4">
        <v>45830</v>
      </c>
    </row>
    <row r="339" spans="1:15" ht="15">
      <c r="A339" s="7">
        <v>338</v>
      </c>
      <c r="B339" s="2" t="s">
        <v>179</v>
      </c>
      <c r="C339" s="3">
        <v>126000</v>
      </c>
      <c r="D339" s="3">
        <v>66000</v>
      </c>
      <c r="E339" s="9" t="s">
        <v>176</v>
      </c>
      <c r="F339" s="4">
        <v>45826</v>
      </c>
      <c r="G339" s="6" t="s">
        <v>742</v>
      </c>
      <c r="H339" s="4">
        <v>45829</v>
      </c>
    </row>
    <row r="340" spans="1:15" ht="15">
      <c r="A340" s="7">
        <v>339</v>
      </c>
      <c r="B340" s="2" t="s">
        <v>45</v>
      </c>
      <c r="C340" s="3">
        <v>66700</v>
      </c>
      <c r="D340" s="3">
        <v>6700</v>
      </c>
      <c r="E340" s="9" t="s">
        <v>83</v>
      </c>
      <c r="F340" s="4">
        <v>45826</v>
      </c>
      <c r="G340" s="6" t="s">
        <v>743</v>
      </c>
      <c r="H340" s="4">
        <v>45829</v>
      </c>
    </row>
    <row r="341" spans="1:15" ht="15">
      <c r="A341" s="7">
        <v>340</v>
      </c>
      <c r="B341" s="2" t="s">
        <v>45</v>
      </c>
      <c r="C341" s="3">
        <v>57400</v>
      </c>
      <c r="D341" s="3">
        <v>0</v>
      </c>
      <c r="E341" s="9" t="s">
        <v>90</v>
      </c>
      <c r="F341" s="4">
        <v>45828</v>
      </c>
      <c r="G341" s="6" t="s">
        <v>744</v>
      </c>
      <c r="H341" s="4">
        <v>45831</v>
      </c>
    </row>
    <row r="342" spans="1:15" ht="15">
      <c r="A342" s="7">
        <v>341</v>
      </c>
      <c r="B342" s="2" t="s">
        <v>746</v>
      </c>
      <c r="C342" s="3">
        <v>66400</v>
      </c>
      <c r="D342" s="3">
        <v>6400</v>
      </c>
      <c r="E342" s="9" t="s">
        <v>69</v>
      </c>
      <c r="F342" s="4">
        <v>45832</v>
      </c>
      <c r="G342" s="6" t="s">
        <v>745</v>
      </c>
      <c r="H342" s="4">
        <v>45836</v>
      </c>
    </row>
    <row r="343" spans="1:15" ht="15">
      <c r="A343" s="7">
        <v>342</v>
      </c>
      <c r="B343" s="2" t="s">
        <v>184</v>
      </c>
      <c r="C343" s="3">
        <v>75000</v>
      </c>
      <c r="D343" s="3">
        <v>15000</v>
      </c>
      <c r="E343" s="9" t="s">
        <v>748</v>
      </c>
      <c r="F343" s="4">
        <v>45832</v>
      </c>
      <c r="G343" s="6" t="s">
        <v>747</v>
      </c>
      <c r="H343" s="4">
        <v>45836</v>
      </c>
    </row>
    <row r="344" spans="1:15" ht="15">
      <c r="A344" s="7">
        <v>343</v>
      </c>
      <c r="B344" s="2" t="s">
        <v>80</v>
      </c>
      <c r="C344" s="3">
        <v>55900</v>
      </c>
      <c r="D344" s="3">
        <v>0</v>
      </c>
      <c r="E344" s="9" t="s">
        <v>87</v>
      </c>
      <c r="F344" s="4">
        <v>45831</v>
      </c>
      <c r="G344" s="6" t="s">
        <v>749</v>
      </c>
      <c r="H344" s="4">
        <v>45837</v>
      </c>
    </row>
    <row r="345" spans="1:15" ht="15">
      <c r="A345" s="7">
        <v>344</v>
      </c>
      <c r="B345" s="2" t="s">
        <v>179</v>
      </c>
      <c r="C345" s="3">
        <v>74500</v>
      </c>
      <c r="D345" s="3">
        <v>0</v>
      </c>
      <c r="E345" s="9" t="s">
        <v>77</v>
      </c>
      <c r="F345" s="4">
        <v>45830</v>
      </c>
      <c r="G345" s="6" t="s">
        <v>750</v>
      </c>
      <c r="H345" s="4">
        <v>45833</v>
      </c>
    </row>
    <row r="346" spans="1:15" ht="15">
      <c r="A346" s="7">
        <v>345</v>
      </c>
      <c r="B346" s="2" t="s">
        <v>754</v>
      </c>
      <c r="C346" s="3">
        <v>77000</v>
      </c>
      <c r="D346" s="3">
        <v>0</v>
      </c>
      <c r="E346" s="9" t="s">
        <v>72</v>
      </c>
      <c r="F346" s="4">
        <v>45832</v>
      </c>
      <c r="G346" s="6" t="s">
        <v>753</v>
      </c>
      <c r="H346" s="4">
        <v>45837</v>
      </c>
    </row>
    <row r="347" spans="1:15" ht="15">
      <c r="A347" s="7">
        <v>346</v>
      </c>
      <c r="B347" s="2" t="s">
        <v>38</v>
      </c>
      <c r="C347" s="3">
        <v>69000</v>
      </c>
      <c r="D347" s="3">
        <v>9000</v>
      </c>
      <c r="E347" s="9" t="s">
        <v>170</v>
      </c>
      <c r="F347" s="4">
        <v>45833</v>
      </c>
      <c r="G347" s="6" t="s">
        <v>755</v>
      </c>
      <c r="H347" s="4">
        <v>45835</v>
      </c>
    </row>
    <row r="348" spans="1:15" ht="15">
      <c r="A348" s="7">
        <v>347</v>
      </c>
      <c r="B348" s="2" t="s">
        <v>45</v>
      </c>
      <c r="C348" s="3">
        <v>65900</v>
      </c>
      <c r="D348" s="3">
        <v>5900</v>
      </c>
      <c r="E348" s="9" t="s">
        <v>209</v>
      </c>
      <c r="F348" s="4">
        <v>45831</v>
      </c>
      <c r="G348" s="6" t="s">
        <v>756</v>
      </c>
      <c r="H348" s="4">
        <v>45834</v>
      </c>
    </row>
    <row r="349" spans="1:15" ht="15">
      <c r="A349" s="7">
        <v>348</v>
      </c>
      <c r="B349" s="2" t="s">
        <v>65</v>
      </c>
      <c r="C349" s="3">
        <v>61686</v>
      </c>
      <c r="D349" s="3">
        <v>1686</v>
      </c>
      <c r="E349" s="9" t="s">
        <v>161</v>
      </c>
      <c r="F349" s="4">
        <v>45835</v>
      </c>
      <c r="G349" s="6" t="s">
        <v>757</v>
      </c>
      <c r="H349" s="4">
        <v>45838</v>
      </c>
    </row>
    <row r="350" spans="1:15" ht="15">
      <c r="A350" s="7">
        <v>349</v>
      </c>
      <c r="B350" s="2" t="s">
        <v>606</v>
      </c>
      <c r="C350" s="3">
        <v>61000</v>
      </c>
      <c r="D350" s="3">
        <v>1000</v>
      </c>
      <c r="E350" s="9" t="s">
        <v>15</v>
      </c>
      <c r="F350" s="4">
        <v>45835</v>
      </c>
      <c r="G350" s="6" t="s">
        <v>758</v>
      </c>
      <c r="H350" s="4">
        <v>45837</v>
      </c>
    </row>
    <row r="351" spans="1:15" ht="15">
      <c r="A351" s="7">
        <v>350</v>
      </c>
      <c r="B351" s="2" t="s">
        <v>705</v>
      </c>
      <c r="C351" s="3">
        <v>89000</v>
      </c>
      <c r="D351" s="3">
        <v>29000</v>
      </c>
      <c r="E351" s="9" t="s">
        <v>131</v>
      </c>
      <c r="F351" s="4">
        <v>45833</v>
      </c>
      <c r="G351" s="6" t="s">
        <v>759</v>
      </c>
      <c r="H351" s="4">
        <v>45836</v>
      </c>
    </row>
    <row r="352" spans="1:15" ht="29.25">
      <c r="A352" s="7">
        <v>351</v>
      </c>
      <c r="B352" s="2" t="s">
        <v>133</v>
      </c>
      <c r="C352" s="3">
        <v>59300</v>
      </c>
      <c r="D352" s="3">
        <v>0</v>
      </c>
      <c r="E352" s="4" t="s">
        <v>23</v>
      </c>
      <c r="F352" s="4">
        <v>45836</v>
      </c>
      <c r="G352" s="6" t="s">
        <v>761</v>
      </c>
      <c r="H352" s="4">
        <v>45841</v>
      </c>
      <c r="K352" s="16" t="s">
        <v>783</v>
      </c>
      <c r="L352" s="16" t="s">
        <v>769</v>
      </c>
      <c r="M352" s="16" t="s">
        <v>770</v>
      </c>
      <c r="N352" s="16" t="s">
        <v>782</v>
      </c>
      <c r="O352" s="16" t="s">
        <v>792</v>
      </c>
    </row>
    <row r="353" spans="1:15" ht="15">
      <c r="A353" s="7">
        <v>352</v>
      </c>
      <c r="B353" s="2" t="s">
        <v>179</v>
      </c>
      <c r="C353" s="3">
        <v>74500</v>
      </c>
      <c r="D353" s="3" t="s">
        <v>780</v>
      </c>
      <c r="E353" s="9" t="s">
        <v>113</v>
      </c>
      <c r="F353" s="4">
        <v>45839</v>
      </c>
      <c r="G353" s="6" t="s">
        <v>763</v>
      </c>
      <c r="H353" s="4">
        <v>45841</v>
      </c>
      <c r="J353" s="4">
        <v>45839</v>
      </c>
      <c r="K353" s="15">
        <f>12000+25000+20000</f>
        <v>57000</v>
      </c>
      <c r="L353" s="15">
        <f>500000+300000+300000</f>
        <v>1100000</v>
      </c>
      <c r="M353" s="15">
        <v>200000</v>
      </c>
      <c r="N353" s="15"/>
      <c r="O353" s="15"/>
    </row>
    <row r="354" spans="1:15" ht="15">
      <c r="A354" s="7">
        <v>353</v>
      </c>
      <c r="B354" s="2" t="s">
        <v>765</v>
      </c>
      <c r="C354" s="3">
        <v>68000</v>
      </c>
      <c r="D354" s="3" t="s">
        <v>780</v>
      </c>
      <c r="E354" s="9" t="s">
        <v>119</v>
      </c>
      <c r="F354" s="4">
        <v>45837</v>
      </c>
      <c r="G354" s="6" t="s">
        <v>764</v>
      </c>
      <c r="H354" s="4">
        <v>45841</v>
      </c>
      <c r="J354" s="4">
        <v>45840</v>
      </c>
      <c r="K354" s="3">
        <f>30000+22000</f>
        <v>52000</v>
      </c>
      <c r="M354" s="15"/>
      <c r="N354" s="15"/>
      <c r="O354" s="15"/>
    </row>
    <row r="355" spans="1:15" ht="15">
      <c r="A355" s="7">
        <v>354</v>
      </c>
      <c r="B355" s="2" t="s">
        <v>165</v>
      </c>
      <c r="C355" s="3">
        <v>62000</v>
      </c>
      <c r="D355" s="3" t="s">
        <v>780</v>
      </c>
      <c r="E355" s="9" t="s">
        <v>17</v>
      </c>
      <c r="F355" s="4">
        <v>45837</v>
      </c>
      <c r="G355" s="6" t="s">
        <v>766</v>
      </c>
      <c r="H355" s="4">
        <v>45841</v>
      </c>
      <c r="J355" s="4">
        <v>45841</v>
      </c>
      <c r="K355" s="3">
        <f>20000+12000+28000+20000</f>
        <v>80000</v>
      </c>
      <c r="M355" s="15">
        <v>40000</v>
      </c>
      <c r="N355" s="15">
        <v>54000</v>
      </c>
      <c r="O355" s="15"/>
    </row>
    <row r="356" spans="1:15" ht="15">
      <c r="A356" s="7">
        <v>355</v>
      </c>
      <c r="B356" s="2" t="s">
        <v>768</v>
      </c>
      <c r="C356" s="3">
        <v>71500</v>
      </c>
      <c r="D356" s="3">
        <v>11500</v>
      </c>
      <c r="E356" s="9" t="s">
        <v>50</v>
      </c>
      <c r="F356" s="4">
        <v>45837</v>
      </c>
      <c r="G356" s="6" t="s">
        <v>767</v>
      </c>
      <c r="H356" s="4">
        <v>45843</v>
      </c>
      <c r="J356" s="4">
        <v>45842</v>
      </c>
      <c r="K356" s="3">
        <f>30000+20000+20000</f>
        <v>70000</v>
      </c>
      <c r="M356" s="15"/>
      <c r="N356" s="15"/>
      <c r="O356" s="15"/>
    </row>
    <row r="357" spans="1:15" ht="15">
      <c r="A357" s="7">
        <v>356</v>
      </c>
      <c r="B357" s="2" t="s">
        <v>772</v>
      </c>
      <c r="C357" s="3">
        <v>184000</v>
      </c>
      <c r="D357" s="3">
        <v>109000</v>
      </c>
      <c r="E357" s="9" t="s">
        <v>44</v>
      </c>
      <c r="F357" s="4">
        <v>45841</v>
      </c>
      <c r="G357" s="6" t="s">
        <v>771</v>
      </c>
      <c r="H357" s="4" t="s">
        <v>144</v>
      </c>
      <c r="J357" s="4">
        <v>45843</v>
      </c>
      <c r="K357" s="3">
        <f>30000+20000+20000</f>
        <v>70000</v>
      </c>
      <c r="M357" s="15"/>
      <c r="N357" s="15"/>
      <c r="O357" s="15"/>
    </row>
    <row r="358" spans="1:15" ht="15">
      <c r="A358" s="7">
        <v>357</v>
      </c>
      <c r="B358" s="2" t="s">
        <v>774</v>
      </c>
      <c r="C358" s="3">
        <v>63000</v>
      </c>
      <c r="D358" s="3">
        <v>3000</v>
      </c>
      <c r="E358" s="9" t="s">
        <v>29</v>
      </c>
      <c r="F358" s="4">
        <v>45839</v>
      </c>
      <c r="G358" s="6" t="s">
        <v>773</v>
      </c>
      <c r="H358" s="4">
        <v>45842</v>
      </c>
      <c r="J358" s="4">
        <v>45844</v>
      </c>
      <c r="K358" s="3">
        <f>28000+25000+20000+25000</f>
        <v>98000</v>
      </c>
      <c r="M358" s="15"/>
      <c r="N358" s="15"/>
      <c r="O358" s="15"/>
    </row>
    <row r="359" spans="1:15" ht="15">
      <c r="A359" s="7">
        <v>358</v>
      </c>
      <c r="B359" s="2" t="s">
        <v>80</v>
      </c>
      <c r="C359" s="3">
        <v>55900</v>
      </c>
      <c r="D359" s="3">
        <v>0</v>
      </c>
      <c r="E359" s="9" t="s">
        <v>51</v>
      </c>
      <c r="F359" s="4">
        <v>45839</v>
      </c>
      <c r="G359" s="6" t="s">
        <v>775</v>
      </c>
      <c r="H359" s="4">
        <v>45842</v>
      </c>
      <c r="J359" s="4">
        <v>45845</v>
      </c>
      <c r="K359" s="3">
        <f>13000+30000+20000</f>
        <v>63000</v>
      </c>
      <c r="M359" s="15"/>
      <c r="N359" s="15"/>
      <c r="O359" s="15"/>
    </row>
    <row r="360" spans="1:15" ht="15">
      <c r="A360" s="7">
        <v>359</v>
      </c>
      <c r="B360" s="2" t="s">
        <v>777</v>
      </c>
      <c r="C360" s="3">
        <v>66700</v>
      </c>
      <c r="D360" s="3" t="s">
        <v>780</v>
      </c>
      <c r="E360" s="9" t="s">
        <v>83</v>
      </c>
      <c r="F360" s="4">
        <v>45838</v>
      </c>
      <c r="G360" s="6" t="s">
        <v>776</v>
      </c>
      <c r="H360" s="4">
        <v>45841</v>
      </c>
      <c r="J360" s="4">
        <v>45846</v>
      </c>
      <c r="K360" s="3">
        <f>12000+30000+20000</f>
        <v>62000</v>
      </c>
      <c r="M360" s="15"/>
      <c r="N360" s="15"/>
      <c r="O360" s="15">
        <v>65000</v>
      </c>
    </row>
    <row r="361" spans="1:15" ht="15">
      <c r="A361" s="7">
        <v>360</v>
      </c>
      <c r="B361" s="2" t="s">
        <v>779</v>
      </c>
      <c r="C361" s="3">
        <v>131500</v>
      </c>
      <c r="D361" s="3" t="s">
        <v>780</v>
      </c>
      <c r="E361" s="9" t="s">
        <v>398</v>
      </c>
      <c r="F361" s="4">
        <v>45838</v>
      </c>
      <c r="G361" s="6" t="s">
        <v>778</v>
      </c>
      <c r="H361" s="4">
        <v>45841</v>
      </c>
      <c r="J361" s="4">
        <v>45847</v>
      </c>
      <c r="K361" s="3">
        <f>20000+26000+20000</f>
        <v>66000</v>
      </c>
      <c r="M361" s="15"/>
      <c r="N361" s="15"/>
      <c r="O361" s="15"/>
    </row>
    <row r="362" spans="1:15" ht="15">
      <c r="A362" s="7">
        <v>361</v>
      </c>
      <c r="B362" s="2" t="s">
        <v>47</v>
      </c>
      <c r="C362" s="3">
        <v>84900</v>
      </c>
      <c r="D362" s="3" t="s">
        <v>780</v>
      </c>
      <c r="E362" s="9" t="s">
        <v>125</v>
      </c>
      <c r="F362" s="4">
        <v>45838</v>
      </c>
      <c r="G362" s="6" t="s">
        <v>781</v>
      </c>
      <c r="H362" s="4">
        <v>45841</v>
      </c>
      <c r="J362" s="4">
        <v>45848</v>
      </c>
      <c r="K362" s="3">
        <f>22000+28000+12000</f>
        <v>62000</v>
      </c>
      <c r="M362" s="15"/>
      <c r="N362" s="15"/>
      <c r="O362" s="15"/>
    </row>
    <row r="363" spans="1:15" ht="15">
      <c r="A363" s="7">
        <v>362</v>
      </c>
      <c r="B363" s="2" t="s">
        <v>785</v>
      </c>
      <c r="C363" s="3">
        <v>81000</v>
      </c>
      <c r="D363" s="3">
        <v>21000</v>
      </c>
      <c r="E363" s="9" t="s">
        <v>24</v>
      </c>
      <c r="F363" s="4">
        <v>45841</v>
      </c>
      <c r="G363" s="6" t="s">
        <v>784</v>
      </c>
      <c r="H363" s="4">
        <v>45843</v>
      </c>
      <c r="J363" s="4">
        <v>45849</v>
      </c>
      <c r="K363" s="3">
        <f>30000+26000+20000</f>
        <v>76000</v>
      </c>
      <c r="M363" s="15"/>
      <c r="N363" s="15"/>
      <c r="O363" s="15"/>
    </row>
    <row r="364" spans="1:15" ht="15">
      <c r="A364" s="7">
        <v>363</v>
      </c>
      <c r="B364" s="2" t="s">
        <v>788</v>
      </c>
      <c r="C364" s="3">
        <v>76000</v>
      </c>
      <c r="D364" s="3" t="s">
        <v>780</v>
      </c>
      <c r="E364" s="9" t="s">
        <v>787</v>
      </c>
      <c r="F364" s="4">
        <v>45841</v>
      </c>
      <c r="G364" s="6" t="s">
        <v>786</v>
      </c>
      <c r="H364" s="4">
        <v>45844</v>
      </c>
      <c r="J364" s="4">
        <v>45850</v>
      </c>
      <c r="K364" s="3">
        <f>20000+20000+20000</f>
        <v>60000</v>
      </c>
      <c r="M364" s="15"/>
      <c r="N364" s="15"/>
      <c r="O364" s="15"/>
    </row>
    <row r="365" spans="1:15" ht="15">
      <c r="A365" s="7">
        <v>364</v>
      </c>
      <c r="B365" s="2" t="s">
        <v>705</v>
      </c>
      <c r="C365" s="3">
        <v>93580</v>
      </c>
      <c r="D365" s="3">
        <v>33580</v>
      </c>
      <c r="E365" s="9" t="s">
        <v>166</v>
      </c>
      <c r="F365" s="4">
        <v>45843</v>
      </c>
      <c r="G365" s="6" t="s">
        <v>789</v>
      </c>
      <c r="H365" s="4" t="s">
        <v>144</v>
      </c>
      <c r="J365" s="4"/>
      <c r="K365" s="3"/>
      <c r="M365" s="15"/>
      <c r="N365" s="15"/>
      <c r="O365" s="15"/>
    </row>
    <row r="366" spans="1:15" ht="15">
      <c r="A366" s="7">
        <v>365</v>
      </c>
      <c r="B366" s="2" t="s">
        <v>179</v>
      </c>
      <c r="C366" s="3">
        <v>79000</v>
      </c>
      <c r="D366" s="3" t="s">
        <v>780</v>
      </c>
      <c r="E366" s="9" t="s">
        <v>51</v>
      </c>
      <c r="F366" s="4">
        <v>45844</v>
      </c>
      <c r="G366" s="6" t="s">
        <v>790</v>
      </c>
      <c r="H366" s="4">
        <v>45849</v>
      </c>
      <c r="J366" s="4"/>
      <c r="K366" s="3"/>
      <c r="M366" s="15"/>
      <c r="N366" s="15"/>
      <c r="O366" s="15"/>
    </row>
    <row r="367" spans="1:15" ht="15">
      <c r="A367" s="7">
        <v>366</v>
      </c>
      <c r="B367" s="2" t="s">
        <v>28</v>
      </c>
      <c r="C367" s="3">
        <v>60000</v>
      </c>
      <c r="D367" s="3">
        <v>0</v>
      </c>
      <c r="E367" s="9" t="s">
        <v>99</v>
      </c>
      <c r="F367" s="4">
        <v>45844</v>
      </c>
      <c r="G367" s="6" t="s">
        <v>791</v>
      </c>
      <c r="H367" s="4">
        <v>45847</v>
      </c>
      <c r="J367" s="4"/>
      <c r="K367" s="3"/>
      <c r="M367" s="15"/>
      <c r="N367" s="15"/>
      <c r="O367" s="15"/>
    </row>
    <row r="368" spans="1:15" ht="15">
      <c r="A368" s="7">
        <v>367</v>
      </c>
      <c r="B368" s="2" t="s">
        <v>772</v>
      </c>
      <c r="C368" s="3">
        <v>159000</v>
      </c>
      <c r="D368" s="3">
        <v>79920</v>
      </c>
      <c r="E368" s="9" t="s">
        <v>49</v>
      </c>
      <c r="F368" s="4">
        <v>45846</v>
      </c>
      <c r="G368" s="6" t="s">
        <v>793</v>
      </c>
      <c r="H368" s="4">
        <v>45848</v>
      </c>
      <c r="J368" s="4"/>
      <c r="K368" s="3"/>
      <c r="M368" s="15"/>
      <c r="N368" s="15"/>
      <c r="O368" s="15"/>
    </row>
    <row r="369" spans="1:15" ht="15">
      <c r="A369" s="7">
        <v>368</v>
      </c>
      <c r="B369" s="2" t="s">
        <v>796</v>
      </c>
      <c r="C369" s="3">
        <v>72100</v>
      </c>
      <c r="D369" s="3">
        <v>12100</v>
      </c>
      <c r="E369" s="9" t="s">
        <v>795</v>
      </c>
      <c r="F369" s="4">
        <v>45846</v>
      </c>
      <c r="G369" s="6" t="s">
        <v>794</v>
      </c>
      <c r="H369" s="4">
        <v>45849</v>
      </c>
      <c r="J369" s="4"/>
      <c r="K369" s="3"/>
      <c r="M369" s="15"/>
      <c r="N369" s="15"/>
      <c r="O369" s="15"/>
    </row>
    <row r="370" spans="1:15" ht="15">
      <c r="A370" s="7">
        <v>369</v>
      </c>
      <c r="B370" s="2" t="s">
        <v>798</v>
      </c>
      <c r="C370" s="3">
        <v>74353</v>
      </c>
      <c r="D370" s="3">
        <v>14353</v>
      </c>
      <c r="E370" s="9" t="s">
        <v>24</v>
      </c>
      <c r="F370" s="4">
        <v>45846</v>
      </c>
      <c r="G370" s="6" t="s">
        <v>797</v>
      </c>
      <c r="H370" s="4">
        <v>45848</v>
      </c>
      <c r="J370" s="4"/>
      <c r="K370" s="3"/>
      <c r="N370" s="15"/>
      <c r="O370" s="15"/>
    </row>
    <row r="371" spans="1:15" ht="15">
      <c r="A371" s="7">
        <v>370</v>
      </c>
      <c r="B371" s="2" t="s">
        <v>103</v>
      </c>
      <c r="C371" s="3">
        <v>68250</v>
      </c>
      <c r="D371" s="3">
        <v>8250</v>
      </c>
      <c r="E371" s="9" t="s">
        <v>800</v>
      </c>
      <c r="F371" s="4">
        <v>45845</v>
      </c>
      <c r="G371" s="6" t="s">
        <v>799</v>
      </c>
      <c r="H371" s="4">
        <v>45849</v>
      </c>
      <c r="J371" s="4"/>
      <c r="K371" s="3"/>
    </row>
    <row r="372" spans="1:15" ht="15">
      <c r="A372" s="7">
        <v>371</v>
      </c>
      <c r="B372" s="2" t="s">
        <v>80</v>
      </c>
      <c r="C372" s="3">
        <v>55900</v>
      </c>
      <c r="D372" s="3">
        <v>0</v>
      </c>
      <c r="E372" s="9" t="s">
        <v>164</v>
      </c>
      <c r="F372" s="4">
        <v>45844</v>
      </c>
      <c r="G372" s="6" t="s">
        <v>801</v>
      </c>
      <c r="H372" s="4">
        <v>45849</v>
      </c>
      <c r="J372" s="4"/>
      <c r="K372" s="3"/>
    </row>
    <row r="373" spans="1:15" ht="15">
      <c r="A373" s="7">
        <v>372</v>
      </c>
      <c r="B373" s="2" t="s">
        <v>804</v>
      </c>
      <c r="C373" s="3">
        <v>87000</v>
      </c>
      <c r="D373" s="3" t="s">
        <v>780</v>
      </c>
      <c r="E373" s="9" t="s">
        <v>803</v>
      </c>
      <c r="F373" s="4">
        <v>45849</v>
      </c>
      <c r="G373" s="6" t="s">
        <v>802</v>
      </c>
      <c r="H373" s="4">
        <v>45851</v>
      </c>
      <c r="J373" s="4"/>
      <c r="K373" s="3"/>
    </row>
    <row r="374" spans="1:15" ht="15">
      <c r="A374" s="7">
        <v>373</v>
      </c>
      <c r="B374" s="2" t="s">
        <v>211</v>
      </c>
      <c r="C374" s="3">
        <v>60600</v>
      </c>
      <c r="D374" s="3">
        <v>600</v>
      </c>
      <c r="E374" s="9" t="s">
        <v>183</v>
      </c>
      <c r="F374" s="4">
        <v>45848</v>
      </c>
      <c r="G374" s="6" t="s">
        <v>805</v>
      </c>
      <c r="H374" s="4" t="s">
        <v>821</v>
      </c>
      <c r="J374" s="4"/>
      <c r="K374" s="3"/>
    </row>
    <row r="375" spans="1:15" ht="15">
      <c r="A375" s="7">
        <v>374</v>
      </c>
      <c r="B375" s="2" t="s">
        <v>59</v>
      </c>
      <c r="C375" s="3">
        <v>62000</v>
      </c>
      <c r="D375" s="3" t="s">
        <v>780</v>
      </c>
      <c r="E375" s="9" t="s">
        <v>174</v>
      </c>
      <c r="F375" s="4">
        <v>45847</v>
      </c>
      <c r="G375" s="6" t="s">
        <v>806</v>
      </c>
      <c r="H375" s="4">
        <v>45850</v>
      </c>
      <c r="J375" s="4"/>
      <c r="K375" s="3"/>
    </row>
    <row r="376" spans="1:15" ht="15">
      <c r="A376" s="7">
        <v>375</v>
      </c>
      <c r="B376" s="2" t="s">
        <v>808</v>
      </c>
      <c r="C376" s="3">
        <v>71650</v>
      </c>
      <c r="D376" s="3">
        <v>11650</v>
      </c>
      <c r="E376" s="9" t="s">
        <v>30</v>
      </c>
      <c r="F376" s="4">
        <v>45847</v>
      </c>
      <c r="G376" s="6" t="s">
        <v>807</v>
      </c>
      <c r="H376" s="4">
        <v>45851</v>
      </c>
      <c r="J376" s="4"/>
      <c r="K376" s="3"/>
    </row>
    <row r="377" spans="1:15" ht="15">
      <c r="A377" s="7">
        <v>376</v>
      </c>
      <c r="B377" s="2" t="s">
        <v>603</v>
      </c>
      <c r="C377" s="3">
        <v>75000</v>
      </c>
      <c r="D377" s="3">
        <v>15000</v>
      </c>
      <c r="E377" s="9" t="s">
        <v>810</v>
      </c>
      <c r="F377" s="4">
        <v>45850</v>
      </c>
      <c r="G377" s="6" t="s">
        <v>809</v>
      </c>
      <c r="H377" s="4">
        <v>45852</v>
      </c>
      <c r="J377" s="4"/>
      <c r="K377" s="3"/>
    </row>
    <row r="378" spans="1:15" ht="15">
      <c r="A378" s="7">
        <v>377</v>
      </c>
      <c r="B378" s="2" t="s">
        <v>812</v>
      </c>
      <c r="C378" s="3">
        <v>57500</v>
      </c>
      <c r="D378" s="3">
        <v>0</v>
      </c>
      <c r="E378" s="9" t="s">
        <v>66</v>
      </c>
      <c r="F378" s="4">
        <v>45851</v>
      </c>
      <c r="G378" s="6" t="s">
        <v>811</v>
      </c>
      <c r="H378" s="4">
        <v>45854</v>
      </c>
      <c r="J378" s="4"/>
      <c r="K378" s="3"/>
    </row>
    <row r="379" spans="1:15" ht="15">
      <c r="A379" s="7">
        <v>378</v>
      </c>
      <c r="B379" s="2" t="s">
        <v>814</v>
      </c>
      <c r="C379" s="3">
        <v>92000</v>
      </c>
      <c r="D379" s="3" t="s">
        <v>780</v>
      </c>
      <c r="E379" s="9" t="s">
        <v>24</v>
      </c>
      <c r="F379" s="4">
        <v>45851</v>
      </c>
      <c r="G379" s="6" t="s">
        <v>813</v>
      </c>
      <c r="H379" s="4">
        <v>45856</v>
      </c>
      <c r="J379" s="4"/>
      <c r="K379" s="3"/>
    </row>
    <row r="380" spans="1:15" ht="15">
      <c r="A380" s="7">
        <v>379</v>
      </c>
      <c r="B380" s="2" t="s">
        <v>59</v>
      </c>
      <c r="C380" s="3">
        <v>68000</v>
      </c>
      <c r="D380" s="3">
        <v>8000</v>
      </c>
      <c r="E380" s="9" t="s">
        <v>20</v>
      </c>
      <c r="F380" s="4">
        <v>45856</v>
      </c>
      <c r="G380" s="6" t="s">
        <v>815</v>
      </c>
      <c r="H380" s="4">
        <v>45859</v>
      </c>
      <c r="J380" s="4"/>
      <c r="K380" s="3"/>
    </row>
    <row r="381" spans="1:15" ht="15">
      <c r="A381" s="7">
        <v>380</v>
      </c>
      <c r="B381" s="2" t="s">
        <v>80</v>
      </c>
      <c r="C381" s="3">
        <v>56900</v>
      </c>
      <c r="D381" s="3">
        <v>6900</v>
      </c>
      <c r="E381" s="9" t="s">
        <v>152</v>
      </c>
      <c r="F381" s="4">
        <v>45855</v>
      </c>
      <c r="G381" s="6" t="s">
        <v>816</v>
      </c>
      <c r="H381" s="4" t="s">
        <v>144</v>
      </c>
      <c r="J381" s="4"/>
      <c r="K381" s="3"/>
    </row>
    <row r="382" spans="1:15" ht="15">
      <c r="A382" s="7">
        <v>381</v>
      </c>
      <c r="B382" s="2" t="s">
        <v>103</v>
      </c>
      <c r="C382" s="3">
        <v>72000</v>
      </c>
      <c r="D382" s="3">
        <v>12000</v>
      </c>
      <c r="E382" s="9" t="s">
        <v>818</v>
      </c>
      <c r="F382" s="4">
        <v>45853</v>
      </c>
      <c r="G382" s="6" t="s">
        <v>817</v>
      </c>
      <c r="H382" s="4" t="s">
        <v>144</v>
      </c>
      <c r="J382" s="4"/>
      <c r="K382" s="3"/>
    </row>
    <row r="383" spans="1:15" ht="15">
      <c r="A383" s="7">
        <v>382</v>
      </c>
      <c r="B383" s="2" t="s">
        <v>459</v>
      </c>
      <c r="C383" s="3">
        <v>60000</v>
      </c>
      <c r="D383" s="3">
        <v>0</v>
      </c>
      <c r="E383" s="9" t="s">
        <v>820</v>
      </c>
      <c r="F383" s="4">
        <v>45853</v>
      </c>
      <c r="G383" s="6" t="s">
        <v>819</v>
      </c>
      <c r="H383" s="4">
        <v>45856</v>
      </c>
      <c r="J383" s="4"/>
      <c r="K383" s="3"/>
    </row>
    <row r="384" spans="1:15" ht="15">
      <c r="A384" s="7">
        <v>383</v>
      </c>
      <c r="B384" s="2" t="s">
        <v>705</v>
      </c>
      <c r="C384" s="3">
        <v>67000</v>
      </c>
      <c r="D384" s="3" t="s">
        <v>780</v>
      </c>
      <c r="E384" s="9" t="s">
        <v>823</v>
      </c>
      <c r="F384" s="4">
        <v>45865</v>
      </c>
      <c r="G384" s="6" t="s">
        <v>822</v>
      </c>
      <c r="H384" s="4">
        <v>45867</v>
      </c>
      <c r="J384" s="4"/>
      <c r="K384" s="3"/>
    </row>
    <row r="385" spans="1:11" ht="15">
      <c r="A385" s="7">
        <v>384</v>
      </c>
      <c r="B385" s="2" t="s">
        <v>825</v>
      </c>
      <c r="C385" s="3">
        <v>60000</v>
      </c>
      <c r="D385" s="3">
        <v>0</v>
      </c>
      <c r="E385" s="9" t="s">
        <v>152</v>
      </c>
      <c r="F385" s="4">
        <v>45865</v>
      </c>
      <c r="G385" s="6" t="s">
        <v>824</v>
      </c>
      <c r="H385" s="4">
        <v>45867</v>
      </c>
      <c r="J385" s="4"/>
      <c r="K385" s="3"/>
    </row>
    <row r="386" spans="1:11" ht="15">
      <c r="A386" s="7">
        <v>385</v>
      </c>
      <c r="B386" s="2" t="s">
        <v>804</v>
      </c>
      <c r="C386" s="3">
        <v>80000</v>
      </c>
      <c r="D386" s="3" t="s">
        <v>780</v>
      </c>
      <c r="E386" s="9" t="s">
        <v>827</v>
      </c>
      <c r="F386" s="4">
        <v>45863</v>
      </c>
      <c r="G386" s="6" t="s">
        <v>826</v>
      </c>
      <c r="H386" s="4">
        <v>45865</v>
      </c>
      <c r="J386" s="4"/>
      <c r="K386" s="3"/>
    </row>
    <row r="387" spans="1:11" ht="15">
      <c r="A387" s="7">
        <v>386</v>
      </c>
      <c r="B387" s="2" t="s">
        <v>80</v>
      </c>
      <c r="C387" s="3">
        <v>59900</v>
      </c>
      <c r="D387" s="3">
        <v>0</v>
      </c>
      <c r="E387" s="9" t="s">
        <v>183</v>
      </c>
      <c r="F387" s="4">
        <v>45866</v>
      </c>
      <c r="G387" s="6" t="s">
        <v>828</v>
      </c>
      <c r="H387" s="4">
        <v>45869</v>
      </c>
      <c r="J387" s="4"/>
      <c r="K387" s="3"/>
    </row>
    <row r="388" spans="1:11" ht="15">
      <c r="A388" s="7">
        <v>387</v>
      </c>
      <c r="B388" s="2" t="s">
        <v>197</v>
      </c>
      <c r="C388" s="3">
        <v>94000</v>
      </c>
      <c r="D388" s="3" t="s">
        <v>780</v>
      </c>
      <c r="E388" s="9" t="s">
        <v>24</v>
      </c>
      <c r="F388" s="4">
        <v>45871</v>
      </c>
      <c r="G388" s="6" t="s">
        <v>829</v>
      </c>
      <c r="H388" s="4">
        <v>45873</v>
      </c>
      <c r="J388" s="4"/>
      <c r="K388" s="3"/>
    </row>
    <row r="389" spans="1:11" ht="15">
      <c r="A389" s="7">
        <v>388</v>
      </c>
      <c r="B389" s="2" t="s">
        <v>831</v>
      </c>
      <c r="C389" s="3">
        <v>62000</v>
      </c>
      <c r="D389" s="3">
        <v>2000</v>
      </c>
      <c r="E389" s="9" t="s">
        <v>14</v>
      </c>
      <c r="F389" s="4">
        <v>45867</v>
      </c>
      <c r="G389" s="6" t="s">
        <v>830</v>
      </c>
      <c r="H389" s="4">
        <v>45870</v>
      </c>
      <c r="J389" s="4"/>
      <c r="K389" s="3"/>
    </row>
    <row r="390" spans="1:11" ht="15">
      <c r="A390" s="7">
        <v>389</v>
      </c>
      <c r="B390" s="2" t="s">
        <v>834</v>
      </c>
      <c r="C390" s="3">
        <v>71998</v>
      </c>
      <c r="D390" s="3" t="s">
        <v>780</v>
      </c>
      <c r="E390" s="9" t="s">
        <v>833</v>
      </c>
      <c r="F390" s="4">
        <v>45875</v>
      </c>
      <c r="G390" s="6" t="s">
        <v>832</v>
      </c>
      <c r="H390" s="4">
        <v>45878</v>
      </c>
      <c r="J390" s="4"/>
      <c r="K390" s="3"/>
    </row>
    <row r="391" spans="1:11" ht="15">
      <c r="A391" s="7">
        <v>390</v>
      </c>
      <c r="B391" s="2" t="s">
        <v>179</v>
      </c>
      <c r="C391" s="3">
        <v>126000</v>
      </c>
      <c r="D391" s="3">
        <v>66000</v>
      </c>
      <c r="E391" s="9" t="s">
        <v>24</v>
      </c>
      <c r="F391" s="4">
        <v>45873</v>
      </c>
      <c r="G391" s="6" t="s">
        <v>835</v>
      </c>
      <c r="H391" s="4">
        <v>45875</v>
      </c>
      <c r="J391" s="4"/>
      <c r="K391" s="3"/>
    </row>
    <row r="392" spans="1:11" ht="15">
      <c r="A392" s="7">
        <v>391</v>
      </c>
      <c r="B392" s="2" t="s">
        <v>47</v>
      </c>
      <c r="C392" s="3">
        <v>88900</v>
      </c>
      <c r="D392" s="3" t="s">
        <v>780</v>
      </c>
      <c r="E392" s="9" t="s">
        <v>803</v>
      </c>
      <c r="F392" s="4">
        <v>45874</v>
      </c>
      <c r="G392" s="6" t="s">
        <v>836</v>
      </c>
      <c r="H392" s="4">
        <v>45876</v>
      </c>
      <c r="J392" s="4"/>
      <c r="K392" s="3"/>
    </row>
    <row r="393" spans="1:11" ht="15">
      <c r="A393" s="7">
        <v>392</v>
      </c>
      <c r="B393" s="2" t="s">
        <v>647</v>
      </c>
      <c r="C393" s="3">
        <v>70000</v>
      </c>
      <c r="D393" s="3" t="s">
        <v>780</v>
      </c>
      <c r="E393" s="9" t="s">
        <v>24</v>
      </c>
      <c r="F393" s="4">
        <v>45873</v>
      </c>
      <c r="G393" s="6" t="s">
        <v>837</v>
      </c>
      <c r="H393" s="4">
        <v>45878</v>
      </c>
      <c r="J393" s="4"/>
      <c r="K393" s="3"/>
    </row>
    <row r="394" spans="1:11" ht="15">
      <c r="A394" s="7">
        <v>393</v>
      </c>
      <c r="B394" s="2" t="s">
        <v>840</v>
      </c>
      <c r="C394" s="3">
        <v>100700</v>
      </c>
      <c r="D394" s="3" t="s">
        <v>780</v>
      </c>
      <c r="E394" s="9" t="s">
        <v>839</v>
      </c>
      <c r="F394" s="4">
        <v>45873</v>
      </c>
      <c r="G394" s="6" t="s">
        <v>838</v>
      </c>
      <c r="H394" s="4">
        <v>45875</v>
      </c>
      <c r="J394" s="4"/>
      <c r="K394" s="3"/>
    </row>
    <row r="395" spans="1:11" ht="15">
      <c r="A395" s="7">
        <v>394</v>
      </c>
      <c r="B395" s="2" t="s">
        <v>842</v>
      </c>
      <c r="C395" s="3">
        <v>60000</v>
      </c>
      <c r="D395" s="3">
        <v>0</v>
      </c>
      <c r="E395" s="9" t="s">
        <v>841</v>
      </c>
      <c r="F395" s="4">
        <v>45873</v>
      </c>
      <c r="G395" s="6" t="s">
        <v>843</v>
      </c>
      <c r="H395" s="4">
        <v>45875</v>
      </c>
      <c r="J395" s="4"/>
      <c r="K395" s="3"/>
    </row>
    <row r="396" spans="1:11" ht="15">
      <c r="A396" s="7">
        <v>395</v>
      </c>
      <c r="B396" s="2" t="s">
        <v>845</v>
      </c>
      <c r="C396" s="3">
        <v>59000</v>
      </c>
      <c r="D396" s="3">
        <v>0</v>
      </c>
      <c r="E396" s="9" t="s">
        <v>12</v>
      </c>
      <c r="F396" s="4">
        <v>45878</v>
      </c>
      <c r="G396" s="6" t="s">
        <v>844</v>
      </c>
      <c r="H396" s="4">
        <v>45882</v>
      </c>
      <c r="J396" s="4"/>
      <c r="K396" s="3"/>
    </row>
    <row r="397" spans="1:11" ht="15">
      <c r="A397" s="7">
        <v>396</v>
      </c>
      <c r="B397" s="2" t="s">
        <v>487</v>
      </c>
      <c r="C397" s="3">
        <v>58900</v>
      </c>
      <c r="D397" s="3">
        <v>0</v>
      </c>
      <c r="E397" s="9" t="s">
        <v>33</v>
      </c>
      <c r="F397" s="4">
        <v>45877</v>
      </c>
      <c r="G397" s="6" t="s">
        <v>846</v>
      </c>
      <c r="H397" s="4">
        <v>45880</v>
      </c>
      <c r="J397" s="4"/>
      <c r="K397" s="3"/>
    </row>
    <row r="398" spans="1:11" ht="15">
      <c r="A398" s="7">
        <v>397</v>
      </c>
      <c r="B398" s="2" t="s">
        <v>179</v>
      </c>
      <c r="C398" s="3">
        <v>66500</v>
      </c>
      <c r="D398" s="3">
        <v>6500</v>
      </c>
      <c r="E398" s="9" t="s">
        <v>848</v>
      </c>
      <c r="F398" s="4">
        <v>45877</v>
      </c>
      <c r="G398" s="6" t="s">
        <v>847</v>
      </c>
      <c r="H398" s="4">
        <v>45879</v>
      </c>
      <c r="J398" s="4"/>
      <c r="K398" s="3"/>
    </row>
    <row r="399" spans="1:11" ht="15">
      <c r="A399" s="7">
        <v>398</v>
      </c>
      <c r="B399" s="2" t="s">
        <v>851</v>
      </c>
      <c r="C399" s="3">
        <v>62300</v>
      </c>
      <c r="D399" s="3">
        <v>2300</v>
      </c>
      <c r="E399" s="9" t="s">
        <v>850</v>
      </c>
      <c r="F399" s="4">
        <v>45876</v>
      </c>
      <c r="G399" s="6" t="s">
        <v>849</v>
      </c>
      <c r="H399" s="4">
        <v>45879</v>
      </c>
      <c r="J399" s="4"/>
      <c r="K399" s="3"/>
    </row>
    <row r="400" spans="1:11" ht="15">
      <c r="A400" s="7">
        <v>399</v>
      </c>
      <c r="B400" s="2" t="s">
        <v>853</v>
      </c>
      <c r="C400" s="3">
        <v>154000</v>
      </c>
      <c r="D400" s="3">
        <v>84000</v>
      </c>
      <c r="E400" s="9" t="s">
        <v>24</v>
      </c>
      <c r="F400" s="4">
        <v>45879</v>
      </c>
      <c r="G400" s="6" t="s">
        <v>852</v>
      </c>
      <c r="H400" s="4">
        <v>45882</v>
      </c>
      <c r="J400" s="4"/>
      <c r="K400" s="3"/>
    </row>
    <row r="401" spans="1:11" ht="15">
      <c r="A401" s="7">
        <v>400</v>
      </c>
      <c r="B401" s="2" t="s">
        <v>80</v>
      </c>
      <c r="C401" s="3">
        <v>59900</v>
      </c>
      <c r="D401" s="3">
        <v>0</v>
      </c>
      <c r="E401" s="9" t="s">
        <v>86</v>
      </c>
      <c r="F401" s="4">
        <v>45879</v>
      </c>
      <c r="G401" s="6" t="s">
        <v>854</v>
      </c>
      <c r="H401" s="4">
        <v>45882</v>
      </c>
      <c r="J401" s="4"/>
      <c r="K401" s="3"/>
    </row>
    <row r="402" spans="1:11" ht="15">
      <c r="A402" s="7">
        <v>401</v>
      </c>
      <c r="B402" s="2" t="s">
        <v>80</v>
      </c>
      <c r="C402" s="3">
        <v>63300</v>
      </c>
      <c r="D402" s="3">
        <v>3300</v>
      </c>
      <c r="E402" s="9" t="s">
        <v>101</v>
      </c>
      <c r="F402" s="4">
        <v>45881</v>
      </c>
      <c r="G402" s="6" t="s">
        <v>855</v>
      </c>
      <c r="H402" s="4">
        <v>45884</v>
      </c>
      <c r="J402" s="4"/>
      <c r="K402" s="3"/>
    </row>
    <row r="403" spans="1:11" ht="15">
      <c r="A403" s="7">
        <v>402</v>
      </c>
      <c r="B403" s="2" t="s">
        <v>136</v>
      </c>
      <c r="C403" s="3">
        <v>63944</v>
      </c>
      <c r="D403" s="3">
        <v>3944</v>
      </c>
      <c r="E403" s="9" t="s">
        <v>857</v>
      </c>
      <c r="F403" s="4">
        <v>45880</v>
      </c>
      <c r="G403" s="6" t="s">
        <v>856</v>
      </c>
      <c r="H403" s="4">
        <v>45884</v>
      </c>
      <c r="J403" s="4"/>
      <c r="K403" s="3"/>
    </row>
    <row r="404" spans="1:11" ht="15">
      <c r="A404" s="7">
        <v>403</v>
      </c>
      <c r="B404" s="2" t="s">
        <v>191</v>
      </c>
      <c r="C404" s="3">
        <v>82900</v>
      </c>
      <c r="D404" s="3">
        <v>22900</v>
      </c>
      <c r="E404" s="9" t="s">
        <v>859</v>
      </c>
      <c r="F404" s="4">
        <v>45880</v>
      </c>
      <c r="G404" s="6" t="s">
        <v>858</v>
      </c>
      <c r="H404" s="4">
        <v>45884</v>
      </c>
      <c r="J404" s="4"/>
      <c r="K404" s="3"/>
    </row>
    <row r="405" spans="1:11" ht="15">
      <c r="A405" s="7">
        <v>404</v>
      </c>
      <c r="B405" s="2" t="s">
        <v>59</v>
      </c>
      <c r="C405" s="3">
        <v>69000</v>
      </c>
      <c r="D405" s="3">
        <v>9000</v>
      </c>
      <c r="E405" s="9" t="s">
        <v>861</v>
      </c>
      <c r="F405" s="4">
        <v>45880</v>
      </c>
      <c r="G405" s="6" t="s">
        <v>860</v>
      </c>
      <c r="H405" s="4" t="s">
        <v>144</v>
      </c>
      <c r="J405" s="4"/>
      <c r="K405" s="3"/>
    </row>
    <row r="406" spans="1:11" ht="15">
      <c r="A406" s="7">
        <v>405</v>
      </c>
      <c r="B406" s="2" t="s">
        <v>38</v>
      </c>
      <c r="C406" s="3">
        <v>69000</v>
      </c>
      <c r="D406" s="3">
        <v>9000</v>
      </c>
      <c r="E406" s="9" t="s">
        <v>141</v>
      </c>
      <c r="F406" s="4">
        <v>45884</v>
      </c>
      <c r="G406" s="6" t="s">
        <v>862</v>
      </c>
      <c r="H406" s="4">
        <v>45886</v>
      </c>
      <c r="J406" s="4"/>
      <c r="K406" s="3"/>
    </row>
    <row r="407" spans="1:11" ht="15">
      <c r="A407" s="7">
        <v>406</v>
      </c>
      <c r="B407" s="2" t="s">
        <v>864</v>
      </c>
      <c r="C407" s="3">
        <v>89000</v>
      </c>
      <c r="D407" s="3">
        <v>29000</v>
      </c>
      <c r="E407" s="9" t="s">
        <v>35</v>
      </c>
      <c r="F407" s="4">
        <v>45883</v>
      </c>
      <c r="G407" s="6" t="s">
        <v>863</v>
      </c>
      <c r="H407" s="4">
        <v>45886</v>
      </c>
      <c r="J407" s="4"/>
      <c r="K407" s="3"/>
    </row>
    <row r="408" spans="1:11" ht="15">
      <c r="A408" s="7">
        <v>407</v>
      </c>
      <c r="B408" s="2" t="s">
        <v>866</v>
      </c>
      <c r="C408" s="3">
        <v>60000</v>
      </c>
      <c r="D408" s="3">
        <v>0</v>
      </c>
      <c r="E408" s="9" t="s">
        <v>117</v>
      </c>
      <c r="F408" s="4">
        <v>45882</v>
      </c>
      <c r="G408" s="6" t="s">
        <v>865</v>
      </c>
      <c r="H408" s="4">
        <v>45885</v>
      </c>
      <c r="J408" s="4"/>
      <c r="K408" s="3"/>
    </row>
    <row r="409" spans="1:11" ht="15">
      <c r="A409" s="7">
        <v>408</v>
      </c>
      <c r="B409" s="2" t="s">
        <v>868</v>
      </c>
      <c r="C409" s="3">
        <v>61365</v>
      </c>
      <c r="D409" s="3">
        <v>1365</v>
      </c>
      <c r="E409" s="9" t="s">
        <v>869</v>
      </c>
      <c r="F409" s="4">
        <v>45883</v>
      </c>
      <c r="G409" s="6" t="s">
        <v>867</v>
      </c>
      <c r="H409" s="4">
        <v>45886</v>
      </c>
      <c r="J409" s="4"/>
      <c r="K409" s="3"/>
    </row>
    <row r="410" spans="1:11" ht="15">
      <c r="A410" s="7">
        <v>409</v>
      </c>
      <c r="B410" s="2" t="s">
        <v>705</v>
      </c>
      <c r="C410" s="3">
        <v>69000</v>
      </c>
      <c r="D410" s="3">
        <v>9000</v>
      </c>
      <c r="E410" s="9" t="s">
        <v>31</v>
      </c>
      <c r="F410" s="4">
        <v>45883</v>
      </c>
      <c r="G410" s="6" t="s">
        <v>870</v>
      </c>
      <c r="H410" s="4">
        <v>45885</v>
      </c>
      <c r="J410" s="4"/>
      <c r="K410" s="3"/>
    </row>
    <row r="411" spans="1:11" ht="15">
      <c r="A411" s="7">
        <v>410</v>
      </c>
      <c r="B411" s="2" t="s">
        <v>872</v>
      </c>
      <c r="C411" s="3">
        <v>95000</v>
      </c>
      <c r="D411" s="3">
        <v>35000</v>
      </c>
      <c r="E411" s="9" t="s">
        <v>795</v>
      </c>
      <c r="F411" s="4">
        <v>45881</v>
      </c>
      <c r="G411" s="6" t="s">
        <v>871</v>
      </c>
      <c r="H411" s="4">
        <v>45884</v>
      </c>
      <c r="J411" s="4"/>
      <c r="K411" s="3"/>
    </row>
    <row r="412" spans="1:11" ht="15">
      <c r="A412" s="7">
        <v>411</v>
      </c>
      <c r="B412" s="2" t="s">
        <v>80</v>
      </c>
      <c r="C412" s="3">
        <v>59900</v>
      </c>
      <c r="D412" s="3">
        <v>0</v>
      </c>
      <c r="E412" s="9" t="s">
        <v>83</v>
      </c>
      <c r="F412" s="4">
        <v>45881</v>
      </c>
      <c r="G412" s="6" t="s">
        <v>873</v>
      </c>
      <c r="H412" s="4">
        <v>45884</v>
      </c>
      <c r="J412" s="4"/>
      <c r="K412" s="3"/>
    </row>
    <row r="413" spans="1:11" ht="15">
      <c r="A413" s="7">
        <v>412</v>
      </c>
      <c r="B413" s="2" t="s">
        <v>692</v>
      </c>
      <c r="C413" s="3">
        <v>149688</v>
      </c>
      <c r="D413" s="3">
        <v>89688</v>
      </c>
      <c r="E413" s="9" t="s">
        <v>139</v>
      </c>
      <c r="F413" s="4">
        <v>45887</v>
      </c>
      <c r="G413" s="6" t="s">
        <v>874</v>
      </c>
      <c r="H413" s="4">
        <v>45889</v>
      </c>
      <c r="J413" s="4"/>
      <c r="K413" s="3"/>
    </row>
    <row r="414" spans="1:11" ht="15">
      <c r="A414" s="7">
        <v>413</v>
      </c>
      <c r="B414" s="2" t="s">
        <v>876</v>
      </c>
      <c r="C414" s="3">
        <v>89000</v>
      </c>
      <c r="D414" s="3" t="s">
        <v>780</v>
      </c>
      <c r="E414" s="9" t="s">
        <v>183</v>
      </c>
      <c r="F414" s="4">
        <v>45887</v>
      </c>
      <c r="G414" s="6" t="s">
        <v>875</v>
      </c>
      <c r="H414" s="4">
        <v>45889</v>
      </c>
      <c r="J414" s="4"/>
      <c r="K414" s="3"/>
    </row>
    <row r="415" spans="1:11" ht="15">
      <c r="A415" s="7">
        <v>414</v>
      </c>
      <c r="B415" s="2" t="s">
        <v>80</v>
      </c>
      <c r="C415" s="3">
        <v>58000</v>
      </c>
      <c r="D415" s="3">
        <v>0</v>
      </c>
      <c r="E415" s="9" t="s">
        <v>82</v>
      </c>
      <c r="F415" s="4">
        <v>45885</v>
      </c>
      <c r="G415" s="6" t="s">
        <v>877</v>
      </c>
      <c r="H415" s="4">
        <v>45888</v>
      </c>
      <c r="J415" s="4"/>
      <c r="K415" s="3"/>
    </row>
    <row r="416" spans="1:11" ht="15">
      <c r="A416" s="7">
        <v>415</v>
      </c>
      <c r="B416" s="2" t="s">
        <v>880</v>
      </c>
      <c r="C416" s="3">
        <v>55000</v>
      </c>
      <c r="D416" s="3">
        <v>0</v>
      </c>
      <c r="E416" s="9" t="s">
        <v>879</v>
      </c>
      <c r="F416" s="4">
        <v>45884</v>
      </c>
      <c r="G416" s="6" t="s">
        <v>878</v>
      </c>
      <c r="H416" s="4">
        <v>45887</v>
      </c>
      <c r="J416" s="4"/>
      <c r="K416" s="3"/>
    </row>
    <row r="417" spans="1:11" ht="15">
      <c r="A417" s="7">
        <v>416</v>
      </c>
      <c r="B417" s="2" t="s">
        <v>882</v>
      </c>
      <c r="C417" s="3">
        <v>83000</v>
      </c>
      <c r="D417" s="3">
        <v>23000</v>
      </c>
      <c r="E417" s="9" t="s">
        <v>91</v>
      </c>
      <c r="F417" s="4">
        <v>45884</v>
      </c>
      <c r="G417" s="6" t="s">
        <v>881</v>
      </c>
      <c r="H417" s="4">
        <v>45887</v>
      </c>
      <c r="J417" s="4"/>
      <c r="K417" s="3"/>
    </row>
    <row r="418" spans="1:11" ht="15">
      <c r="A418" s="7">
        <v>417</v>
      </c>
      <c r="B418" s="2" t="s">
        <v>884</v>
      </c>
      <c r="C418" s="3">
        <v>59000</v>
      </c>
      <c r="D418" s="3">
        <v>0</v>
      </c>
      <c r="E418" s="9" t="s">
        <v>885</v>
      </c>
      <c r="F418" s="4">
        <v>45891</v>
      </c>
      <c r="G418" s="6" t="s">
        <v>883</v>
      </c>
      <c r="H418" s="4">
        <v>45893</v>
      </c>
      <c r="J418" s="4"/>
      <c r="K418" s="3"/>
    </row>
    <row r="419" spans="1:11" ht="15">
      <c r="A419" s="7">
        <v>418</v>
      </c>
      <c r="B419" s="2" t="s">
        <v>9</v>
      </c>
      <c r="C419" s="3">
        <v>89000</v>
      </c>
      <c r="D419" s="3">
        <v>29000</v>
      </c>
      <c r="E419" s="9" t="s">
        <v>27</v>
      </c>
      <c r="F419" s="4">
        <v>45890</v>
      </c>
      <c r="G419" s="6" t="s">
        <v>886</v>
      </c>
      <c r="H419" s="4">
        <v>45892</v>
      </c>
      <c r="J419" s="4"/>
      <c r="K419" s="3"/>
    </row>
    <row r="420" spans="1:11" ht="15">
      <c r="A420" s="7">
        <v>419</v>
      </c>
      <c r="B420" s="2" t="s">
        <v>889</v>
      </c>
      <c r="C420" s="3">
        <v>74000</v>
      </c>
      <c r="D420" s="3">
        <v>14000</v>
      </c>
      <c r="E420" s="9" t="s">
        <v>888</v>
      </c>
      <c r="F420" s="4">
        <v>45889</v>
      </c>
      <c r="G420" s="6" t="s">
        <v>887</v>
      </c>
      <c r="H420" s="4" t="s">
        <v>144</v>
      </c>
      <c r="J420" s="4"/>
      <c r="K420" s="3"/>
    </row>
    <row r="421" spans="1:11" ht="15">
      <c r="A421" s="7">
        <v>420</v>
      </c>
      <c r="B421" s="2" t="s">
        <v>891</v>
      </c>
      <c r="C421" s="3">
        <v>60000</v>
      </c>
      <c r="D421" s="3">
        <v>0</v>
      </c>
      <c r="E421" s="9" t="s">
        <v>195</v>
      </c>
      <c r="F421" s="4">
        <v>45889</v>
      </c>
      <c r="G421" s="6" t="s">
        <v>890</v>
      </c>
      <c r="H421" s="4">
        <v>45891</v>
      </c>
      <c r="J421" s="4"/>
      <c r="K421" s="3"/>
    </row>
    <row r="422" spans="1:11" ht="15">
      <c r="A422" s="7">
        <v>421</v>
      </c>
      <c r="B422" s="2" t="s">
        <v>121</v>
      </c>
      <c r="C422" s="3">
        <v>126000</v>
      </c>
      <c r="D422" s="3">
        <v>66000</v>
      </c>
      <c r="E422" s="9" t="s">
        <v>124</v>
      </c>
      <c r="F422" s="4">
        <v>45887</v>
      </c>
      <c r="G422" s="6" t="s">
        <v>892</v>
      </c>
      <c r="H422" s="4">
        <v>45890</v>
      </c>
      <c r="J422" s="4"/>
      <c r="K422" s="3"/>
    </row>
    <row r="423" spans="1:11" ht="15">
      <c r="A423" s="7">
        <v>422</v>
      </c>
      <c r="B423" s="2" t="s">
        <v>9</v>
      </c>
      <c r="C423" s="3">
        <v>89000</v>
      </c>
      <c r="D423" s="3">
        <v>29000</v>
      </c>
      <c r="E423" s="9" t="s">
        <v>98</v>
      </c>
      <c r="F423" s="4">
        <v>45887</v>
      </c>
      <c r="G423" s="6" t="s">
        <v>893</v>
      </c>
      <c r="H423" s="4">
        <v>45890</v>
      </c>
      <c r="J423" s="4"/>
      <c r="K423" s="3"/>
    </row>
    <row r="424" spans="1:11" ht="15">
      <c r="A424" s="7">
        <v>423</v>
      </c>
      <c r="B424" s="2" t="s">
        <v>895</v>
      </c>
      <c r="C424" s="3">
        <v>85000</v>
      </c>
      <c r="D424" s="3">
        <v>20000</v>
      </c>
      <c r="E424" s="9" t="s">
        <v>748</v>
      </c>
      <c r="F424" s="4">
        <v>45887</v>
      </c>
      <c r="G424" s="6" t="s">
        <v>894</v>
      </c>
      <c r="H424" s="4">
        <v>45891</v>
      </c>
      <c r="J424" s="4"/>
      <c r="K424" s="3"/>
    </row>
    <row r="425" spans="1:11" ht="15">
      <c r="A425" s="7">
        <v>424</v>
      </c>
      <c r="B425" s="2" t="s">
        <v>898</v>
      </c>
      <c r="C425" s="3">
        <v>180000</v>
      </c>
      <c r="D425" s="3">
        <v>120000</v>
      </c>
      <c r="E425" s="9" t="s">
        <v>897</v>
      </c>
      <c r="F425" s="4">
        <v>45886</v>
      </c>
      <c r="G425" s="6" t="s">
        <v>896</v>
      </c>
      <c r="H425" s="4">
        <v>45889</v>
      </c>
      <c r="J425" s="4"/>
      <c r="K425" s="3"/>
    </row>
    <row r="426" spans="1:11" ht="15">
      <c r="A426" s="7">
        <v>425</v>
      </c>
      <c r="B426" s="2" t="s">
        <v>900</v>
      </c>
      <c r="C426" s="3">
        <v>57600</v>
      </c>
      <c r="D426" s="3">
        <v>0</v>
      </c>
      <c r="E426" s="9" t="s">
        <v>163</v>
      </c>
      <c r="F426" s="4">
        <v>45894</v>
      </c>
      <c r="G426" s="6" t="s">
        <v>899</v>
      </c>
      <c r="H426" s="4" t="s">
        <v>821</v>
      </c>
      <c r="J426" s="4"/>
      <c r="K426" s="3"/>
    </row>
    <row r="427" spans="1:11" ht="15">
      <c r="A427" s="7">
        <v>426</v>
      </c>
      <c r="B427" s="2" t="s">
        <v>902</v>
      </c>
      <c r="C427" s="3">
        <v>96000</v>
      </c>
      <c r="D427" s="3">
        <v>36000</v>
      </c>
      <c r="E427" s="9" t="s">
        <v>91</v>
      </c>
      <c r="F427" s="4">
        <v>45893</v>
      </c>
      <c r="G427" s="6" t="s">
        <v>901</v>
      </c>
      <c r="H427" s="4">
        <v>45897</v>
      </c>
      <c r="J427" s="4"/>
      <c r="K427" s="3"/>
    </row>
    <row r="428" spans="1:11" ht="15">
      <c r="A428" s="7">
        <v>427</v>
      </c>
      <c r="B428" s="2" t="s">
        <v>904</v>
      </c>
      <c r="C428" s="3">
        <v>60000</v>
      </c>
      <c r="D428" s="3">
        <v>0</v>
      </c>
      <c r="E428" s="9" t="s">
        <v>46</v>
      </c>
      <c r="F428" s="4">
        <v>45893</v>
      </c>
      <c r="G428" s="6" t="s">
        <v>903</v>
      </c>
      <c r="H428" s="4">
        <v>45897</v>
      </c>
      <c r="J428" s="4"/>
      <c r="K428" s="3"/>
    </row>
    <row r="429" spans="1:11" ht="15">
      <c r="A429" s="7">
        <v>428</v>
      </c>
      <c r="B429" s="2" t="s">
        <v>907</v>
      </c>
      <c r="C429" s="3">
        <v>75000</v>
      </c>
      <c r="D429" s="3">
        <v>15000</v>
      </c>
      <c r="E429" s="9" t="s">
        <v>906</v>
      </c>
      <c r="F429" s="4">
        <v>45891</v>
      </c>
      <c r="G429" s="6" t="s">
        <v>905</v>
      </c>
      <c r="H429" s="4">
        <v>45894</v>
      </c>
      <c r="J429" s="4"/>
      <c r="K429" s="3"/>
    </row>
    <row r="430" spans="1:11" ht="15">
      <c r="A430" s="7">
        <v>429</v>
      </c>
      <c r="B430" s="2" t="s">
        <v>909</v>
      </c>
      <c r="C430" s="3">
        <v>66996</v>
      </c>
      <c r="D430" s="3">
        <v>6996</v>
      </c>
      <c r="E430" s="9" t="s">
        <v>209</v>
      </c>
      <c r="F430" s="4">
        <v>45892</v>
      </c>
      <c r="G430" s="6" t="s">
        <v>908</v>
      </c>
      <c r="H430" s="4">
        <v>45897</v>
      </c>
      <c r="J430" s="4"/>
      <c r="K430" s="3"/>
    </row>
    <row r="431" spans="1:11" ht="15">
      <c r="A431" s="7">
        <v>430</v>
      </c>
      <c r="B431" s="2" t="s">
        <v>45</v>
      </c>
      <c r="C431" s="3">
        <v>57900</v>
      </c>
      <c r="D431" s="3">
        <v>0</v>
      </c>
      <c r="E431" s="9" t="s">
        <v>119</v>
      </c>
      <c r="F431" s="4">
        <v>45897</v>
      </c>
      <c r="G431" s="6" t="s">
        <v>910</v>
      </c>
      <c r="H431" s="4">
        <v>45899</v>
      </c>
      <c r="J431" s="4"/>
      <c r="K431" s="3"/>
    </row>
    <row r="432" spans="1:11" ht="15">
      <c r="A432" s="7">
        <v>431</v>
      </c>
      <c r="B432" s="2" t="s">
        <v>912</v>
      </c>
      <c r="C432" s="3">
        <v>57000</v>
      </c>
      <c r="D432" s="3">
        <v>0</v>
      </c>
      <c r="E432" s="9" t="s">
        <v>24</v>
      </c>
      <c r="F432" s="4">
        <v>45897</v>
      </c>
      <c r="G432" s="6" t="s">
        <v>911</v>
      </c>
      <c r="H432" s="4">
        <v>45899</v>
      </c>
      <c r="J432" s="4"/>
      <c r="K432" s="3"/>
    </row>
    <row r="433" spans="1:11" ht="15">
      <c r="A433" s="7">
        <v>432</v>
      </c>
      <c r="B433" s="2" t="s">
        <v>831</v>
      </c>
      <c r="C433" s="3">
        <v>62000</v>
      </c>
      <c r="D433" s="3">
        <v>2000</v>
      </c>
      <c r="E433" s="9" t="s">
        <v>20</v>
      </c>
      <c r="F433" s="4">
        <v>45896</v>
      </c>
      <c r="G433" s="6" t="s">
        <v>913</v>
      </c>
      <c r="H433" s="4">
        <v>45899</v>
      </c>
      <c r="K433" s="3"/>
    </row>
    <row r="434" spans="1:11" ht="15">
      <c r="A434" s="7">
        <v>433</v>
      </c>
      <c r="B434" s="2" t="s">
        <v>915</v>
      </c>
      <c r="C434" s="3">
        <v>65998</v>
      </c>
      <c r="D434" s="3">
        <v>5998</v>
      </c>
      <c r="E434" s="9" t="s">
        <v>916</v>
      </c>
      <c r="F434" s="4">
        <v>45895</v>
      </c>
      <c r="G434" s="6" t="s">
        <v>914</v>
      </c>
      <c r="H434" s="4">
        <v>45898</v>
      </c>
      <c r="K434" s="3"/>
    </row>
    <row r="435" spans="1:11" ht="15">
      <c r="A435" s="7">
        <v>434</v>
      </c>
      <c r="B435" s="2" t="s">
        <v>919</v>
      </c>
      <c r="C435" s="3">
        <v>56000</v>
      </c>
      <c r="D435" s="3">
        <v>0</v>
      </c>
      <c r="E435" s="9" t="s">
        <v>918</v>
      </c>
      <c r="F435" s="4">
        <v>45895</v>
      </c>
      <c r="G435" s="6" t="s">
        <v>917</v>
      </c>
      <c r="H435" s="4">
        <v>45899</v>
      </c>
      <c r="K435" s="3"/>
    </row>
    <row r="436" spans="1:11" ht="15">
      <c r="A436" s="7">
        <v>435</v>
      </c>
      <c r="B436" s="2" t="s">
        <v>909</v>
      </c>
      <c r="C436" s="3">
        <v>72000</v>
      </c>
      <c r="D436" s="3">
        <v>12000</v>
      </c>
      <c r="E436" s="9" t="s">
        <v>51</v>
      </c>
      <c r="F436" s="4">
        <v>45894</v>
      </c>
      <c r="G436" s="6" t="s">
        <v>920</v>
      </c>
      <c r="H436" s="4">
        <v>45897</v>
      </c>
      <c r="K436" s="3"/>
    </row>
    <row r="437" spans="1:11" ht="15">
      <c r="A437" s="7">
        <v>436</v>
      </c>
      <c r="B437" s="2" t="s">
        <v>922</v>
      </c>
      <c r="C437" s="3">
        <v>59000</v>
      </c>
      <c r="D437" s="3">
        <v>0</v>
      </c>
      <c r="E437" s="9" t="s">
        <v>127</v>
      </c>
      <c r="F437" s="4">
        <v>45894</v>
      </c>
      <c r="G437" s="6" t="s">
        <v>921</v>
      </c>
      <c r="H437" s="4">
        <v>45897</v>
      </c>
      <c r="K437" s="3"/>
    </row>
    <row r="438" spans="1:11" ht="15">
      <c r="A438" s="7">
        <v>437</v>
      </c>
      <c r="B438" s="2" t="s">
        <v>625</v>
      </c>
      <c r="C438" s="3">
        <v>62000</v>
      </c>
      <c r="D438" s="3">
        <v>2000</v>
      </c>
      <c r="E438" s="9" t="s">
        <v>63</v>
      </c>
      <c r="F438" s="4">
        <v>45898</v>
      </c>
      <c r="G438" s="6" t="s">
        <v>923</v>
      </c>
      <c r="H438" s="4">
        <v>45900</v>
      </c>
      <c r="K438" s="3"/>
    </row>
    <row r="439" spans="1:11" ht="15">
      <c r="A439" s="7">
        <v>438</v>
      </c>
      <c r="B439" s="2" t="s">
        <v>925</v>
      </c>
      <c r="C439" s="3">
        <v>65998</v>
      </c>
      <c r="D439" s="3">
        <v>5998</v>
      </c>
      <c r="E439" s="9" t="s">
        <v>18</v>
      </c>
      <c r="F439" s="4">
        <v>45898</v>
      </c>
      <c r="G439" s="6" t="s">
        <v>924</v>
      </c>
      <c r="H439" s="4">
        <v>45903</v>
      </c>
      <c r="K439" s="3"/>
    </row>
    <row r="440" spans="1:11" ht="15">
      <c r="A440" s="7">
        <v>439</v>
      </c>
      <c r="B440" s="2" t="s">
        <v>142</v>
      </c>
      <c r="C440" s="3">
        <v>76000</v>
      </c>
      <c r="D440" s="3">
        <v>16000</v>
      </c>
      <c r="E440" s="9" t="s">
        <v>69</v>
      </c>
      <c r="F440" s="4">
        <v>45897</v>
      </c>
      <c r="G440" s="6" t="s">
        <v>926</v>
      </c>
      <c r="H440" s="4">
        <v>45900</v>
      </c>
      <c r="K440" s="3"/>
    </row>
    <row r="441" spans="1:11" ht="15">
      <c r="A441" s="7">
        <v>440</v>
      </c>
      <c r="B441" s="2" t="s">
        <v>84</v>
      </c>
      <c r="C441" s="3">
        <v>75000</v>
      </c>
      <c r="D441" s="3">
        <v>15000</v>
      </c>
      <c r="E441" s="9" t="s">
        <v>126</v>
      </c>
      <c r="F441" s="4">
        <v>45901</v>
      </c>
      <c r="G441" s="6" t="s">
        <v>927</v>
      </c>
      <c r="H441" s="4">
        <v>45906</v>
      </c>
      <c r="K441" s="3"/>
    </row>
    <row r="442" spans="1:11" ht="15">
      <c r="A442" s="7">
        <v>441</v>
      </c>
      <c r="B442" s="2" t="s">
        <v>9</v>
      </c>
      <c r="C442" s="3">
        <v>82770</v>
      </c>
      <c r="D442" s="3">
        <v>22770</v>
      </c>
      <c r="E442" s="9" t="s">
        <v>126</v>
      </c>
      <c r="F442" s="4">
        <v>45901</v>
      </c>
      <c r="G442" s="6" t="s">
        <v>928</v>
      </c>
      <c r="H442" s="4">
        <v>45904</v>
      </c>
      <c r="K442" s="3"/>
    </row>
    <row r="443" spans="1:11" ht="15">
      <c r="A443" s="7">
        <v>442</v>
      </c>
      <c r="B443" s="2" t="s">
        <v>938</v>
      </c>
      <c r="C443" s="3">
        <v>76000</v>
      </c>
      <c r="D443" s="3">
        <v>16000</v>
      </c>
      <c r="E443" s="9" t="s">
        <v>91</v>
      </c>
      <c r="F443" s="4">
        <v>45902</v>
      </c>
      <c r="G443" s="6" t="s">
        <v>929</v>
      </c>
      <c r="H443" s="4">
        <v>45905</v>
      </c>
      <c r="K443" s="3"/>
    </row>
    <row r="444" spans="1:11" ht="15">
      <c r="A444" s="7">
        <v>443</v>
      </c>
      <c r="B444" s="2" t="s">
        <v>931</v>
      </c>
      <c r="C444" s="3">
        <v>69000</v>
      </c>
      <c r="D444" s="3">
        <v>9000</v>
      </c>
      <c r="E444" s="9" t="s">
        <v>888</v>
      </c>
      <c r="F444" s="4">
        <v>45902</v>
      </c>
      <c r="G444" s="6" t="s">
        <v>930</v>
      </c>
      <c r="H444" s="4">
        <v>45905</v>
      </c>
      <c r="K444" s="3"/>
    </row>
    <row r="445" spans="1:11" ht="15">
      <c r="A445" s="7">
        <v>444</v>
      </c>
      <c r="B445" s="2" t="s">
        <v>934</v>
      </c>
      <c r="C445" s="3">
        <v>189000</v>
      </c>
      <c r="D445" s="3">
        <v>109000</v>
      </c>
      <c r="E445" s="9" t="s">
        <v>933</v>
      </c>
      <c r="F445" s="4">
        <v>45902</v>
      </c>
      <c r="G445" s="6" t="s">
        <v>932</v>
      </c>
      <c r="H445" s="4">
        <v>45906</v>
      </c>
      <c r="K445" s="3"/>
    </row>
    <row r="446" spans="1:11" ht="15">
      <c r="A446" s="7">
        <v>445</v>
      </c>
      <c r="B446" s="2" t="s">
        <v>936</v>
      </c>
      <c r="C446" s="3">
        <v>60000</v>
      </c>
      <c r="D446" s="3">
        <v>0</v>
      </c>
      <c r="E446" s="9" t="s">
        <v>160</v>
      </c>
      <c r="F446" s="4">
        <v>45903</v>
      </c>
      <c r="G446" s="6" t="s">
        <v>935</v>
      </c>
      <c r="H446" s="4">
        <v>45906</v>
      </c>
      <c r="K446" s="3"/>
    </row>
    <row r="447" spans="1:11" ht="15">
      <c r="A447" s="7">
        <v>446</v>
      </c>
      <c r="B447" s="2" t="s">
        <v>880</v>
      </c>
      <c r="C447" s="3">
        <v>49000</v>
      </c>
      <c r="D447" s="3">
        <v>0</v>
      </c>
      <c r="E447" s="9" t="s">
        <v>52</v>
      </c>
      <c r="F447" s="4">
        <v>45903</v>
      </c>
      <c r="G447" s="6" t="s">
        <v>937</v>
      </c>
      <c r="H447" s="4">
        <v>45906</v>
      </c>
      <c r="K447" s="3"/>
    </row>
    <row r="448" spans="1:11" ht="15">
      <c r="A448" s="7">
        <v>447</v>
      </c>
      <c r="B448" s="2" t="s">
        <v>80</v>
      </c>
      <c r="C448" s="3">
        <v>59900</v>
      </c>
      <c r="D448" s="3">
        <v>0</v>
      </c>
      <c r="E448" s="9" t="s">
        <v>124</v>
      </c>
      <c r="F448" s="4">
        <v>45905</v>
      </c>
      <c r="G448" s="6" t="s">
        <v>939</v>
      </c>
      <c r="H448" s="4">
        <v>45908</v>
      </c>
      <c r="K448" s="3"/>
    </row>
    <row r="449" spans="1:11" ht="15">
      <c r="A449" s="7">
        <v>448</v>
      </c>
      <c r="B449" s="2" t="s">
        <v>489</v>
      </c>
      <c r="C449" s="3">
        <v>60000</v>
      </c>
      <c r="D449" s="3">
        <v>0</v>
      </c>
      <c r="E449" s="9" t="s">
        <v>941</v>
      </c>
      <c r="F449" s="4">
        <v>45904</v>
      </c>
      <c r="G449" s="6" t="s">
        <v>940</v>
      </c>
      <c r="H449" s="4">
        <v>45907</v>
      </c>
      <c r="K449" s="3"/>
    </row>
    <row r="450" spans="1:11" ht="15">
      <c r="A450" s="7">
        <v>449</v>
      </c>
      <c r="B450" s="2" t="s">
        <v>489</v>
      </c>
      <c r="C450" s="3">
        <v>60000</v>
      </c>
      <c r="D450" s="3">
        <v>0</v>
      </c>
      <c r="E450" s="9" t="s">
        <v>128</v>
      </c>
      <c r="F450" s="4">
        <v>45904</v>
      </c>
      <c r="G450" s="6" t="s">
        <v>942</v>
      </c>
      <c r="H450" s="4">
        <v>45907</v>
      </c>
      <c r="K450" s="3"/>
    </row>
    <row r="451" spans="1:11" ht="15">
      <c r="A451" s="7">
        <v>450</v>
      </c>
      <c r="B451" s="2" t="s">
        <v>489</v>
      </c>
      <c r="C451" s="3">
        <v>55000</v>
      </c>
      <c r="D451" s="3">
        <v>0</v>
      </c>
      <c r="E451" s="9" t="s">
        <v>77</v>
      </c>
      <c r="F451" s="4">
        <v>45902</v>
      </c>
      <c r="G451" s="6" t="s">
        <v>930</v>
      </c>
      <c r="H451" s="4">
        <v>45905</v>
      </c>
      <c r="K451" s="3"/>
    </row>
    <row r="452" spans="1:11" ht="15">
      <c r="A452" s="7">
        <v>451</v>
      </c>
      <c r="B452" s="2" t="s">
        <v>943</v>
      </c>
      <c r="C452" s="3">
        <v>56000</v>
      </c>
      <c r="D452" s="3">
        <v>0</v>
      </c>
      <c r="E452" s="9" t="s">
        <v>27</v>
      </c>
      <c r="F452" s="4">
        <v>45902</v>
      </c>
      <c r="G452" s="6" t="s">
        <v>930</v>
      </c>
      <c r="H452" s="4">
        <v>45905</v>
      </c>
    </row>
    <row r="453" spans="1:11" ht="15">
      <c r="A453" s="7">
        <v>452</v>
      </c>
      <c r="B453" s="2" t="s">
        <v>946</v>
      </c>
      <c r="C453" s="3">
        <v>63000</v>
      </c>
      <c r="D453" s="3">
        <v>3000</v>
      </c>
      <c r="E453" s="9" t="s">
        <v>945</v>
      </c>
      <c r="F453" s="4">
        <v>45906</v>
      </c>
      <c r="G453" s="6" t="s">
        <v>944</v>
      </c>
      <c r="H453" s="4">
        <v>45908</v>
      </c>
    </row>
    <row r="454" spans="1:11" ht="15">
      <c r="A454" s="7">
        <v>453</v>
      </c>
      <c r="B454" s="2" t="s">
        <v>949</v>
      </c>
      <c r="C454" s="3">
        <v>44708</v>
      </c>
      <c r="D454" s="3">
        <v>34708</v>
      </c>
      <c r="E454" s="9" t="s">
        <v>948</v>
      </c>
      <c r="F454" s="4">
        <v>45906</v>
      </c>
      <c r="G454" s="6" t="s">
        <v>947</v>
      </c>
      <c r="H454" s="4">
        <v>45908</v>
      </c>
    </row>
    <row r="455" spans="1:11" ht="15">
      <c r="A455" s="7">
        <v>454</v>
      </c>
      <c r="B455" s="2" t="s">
        <v>191</v>
      </c>
      <c r="C455" s="3">
        <v>70834</v>
      </c>
      <c r="D455" s="3">
        <v>10834</v>
      </c>
      <c r="E455" s="9" t="s">
        <v>952</v>
      </c>
      <c r="F455" s="4">
        <v>45908</v>
      </c>
      <c r="G455" s="6" t="s">
        <v>951</v>
      </c>
      <c r="H455" s="4">
        <v>45910</v>
      </c>
    </row>
    <row r="456" spans="1:11" ht="15">
      <c r="A456" s="7">
        <v>455</v>
      </c>
      <c r="B456" s="2" t="s">
        <v>121</v>
      </c>
      <c r="C456" s="3">
        <v>126000</v>
      </c>
      <c r="D456" s="3">
        <v>66000</v>
      </c>
      <c r="E456" s="9" t="s">
        <v>122</v>
      </c>
      <c r="F456" s="4">
        <v>45907</v>
      </c>
      <c r="G456" s="6" t="s">
        <v>953</v>
      </c>
      <c r="H456" s="4">
        <v>45910</v>
      </c>
    </row>
    <row r="457" spans="1:11" ht="15">
      <c r="A457" s="7">
        <v>456</v>
      </c>
      <c r="B457" s="2" t="s">
        <v>825</v>
      </c>
      <c r="C457" s="3">
        <v>76000</v>
      </c>
      <c r="D457" s="3">
        <v>15000</v>
      </c>
      <c r="E457" s="9" t="s">
        <v>77</v>
      </c>
      <c r="F457" s="4">
        <v>45914</v>
      </c>
      <c r="G457" s="6" t="s">
        <v>954</v>
      </c>
      <c r="H457" s="4">
        <v>45916</v>
      </c>
    </row>
    <row r="458" spans="1:11" ht="15">
      <c r="A458" s="7">
        <v>457</v>
      </c>
      <c r="B458" s="2" t="s">
        <v>956</v>
      </c>
      <c r="C458" s="3">
        <v>120000</v>
      </c>
      <c r="D458" s="3">
        <v>48000</v>
      </c>
      <c r="E458" s="9" t="s">
        <v>119</v>
      </c>
      <c r="F458" s="4">
        <v>45913</v>
      </c>
      <c r="G458" s="6" t="s">
        <v>955</v>
      </c>
      <c r="H458" s="4">
        <v>45916</v>
      </c>
    </row>
    <row r="459" spans="1:11" ht="15">
      <c r="A459" s="7">
        <v>458</v>
      </c>
      <c r="B459" s="2" t="s">
        <v>59</v>
      </c>
      <c r="C459" s="3">
        <v>62000</v>
      </c>
      <c r="D459" s="3">
        <v>2000</v>
      </c>
      <c r="E459" s="9" t="s">
        <v>126</v>
      </c>
      <c r="F459" s="4">
        <v>45913</v>
      </c>
      <c r="G459" s="6" t="s">
        <v>957</v>
      </c>
      <c r="H459" s="4">
        <v>45915</v>
      </c>
    </row>
    <row r="460" spans="1:11" ht="15">
      <c r="A460" s="7">
        <v>459</v>
      </c>
      <c r="B460" s="2" t="s">
        <v>960</v>
      </c>
      <c r="C460" s="3">
        <v>76000</v>
      </c>
      <c r="D460" s="3">
        <v>16000</v>
      </c>
      <c r="E460" s="9" t="s">
        <v>959</v>
      </c>
      <c r="F460" s="4">
        <v>45912</v>
      </c>
      <c r="G460" s="6" t="s">
        <v>958</v>
      </c>
      <c r="H460" s="4">
        <v>45915</v>
      </c>
    </row>
    <row r="461" spans="1:11" ht="15">
      <c r="A461" s="7">
        <v>460</v>
      </c>
      <c r="B461" s="2" t="s">
        <v>962</v>
      </c>
      <c r="C461" s="3">
        <v>126000</v>
      </c>
      <c r="D461" s="3">
        <v>66000</v>
      </c>
      <c r="E461" s="9" t="s">
        <v>95</v>
      </c>
      <c r="F461" s="4">
        <v>45911</v>
      </c>
      <c r="G461" s="6" t="s">
        <v>961</v>
      </c>
      <c r="H461" s="4">
        <v>45916</v>
      </c>
    </row>
    <row r="462" spans="1:11" ht="15">
      <c r="A462" s="7">
        <v>461</v>
      </c>
      <c r="B462" s="2" t="s">
        <v>94</v>
      </c>
      <c r="C462" s="3">
        <v>64000</v>
      </c>
      <c r="D462" s="3">
        <v>4000</v>
      </c>
      <c r="E462" s="9" t="s">
        <v>787</v>
      </c>
      <c r="F462" s="4">
        <v>45911</v>
      </c>
      <c r="G462" s="6" t="s">
        <v>963</v>
      </c>
      <c r="H462" s="4">
        <v>45914</v>
      </c>
    </row>
    <row r="463" spans="1:11" ht="15">
      <c r="A463" s="7">
        <v>462</v>
      </c>
      <c r="B463" s="2" t="s">
        <v>825</v>
      </c>
      <c r="C463" s="3">
        <v>68000</v>
      </c>
      <c r="D463" s="3">
        <v>8000</v>
      </c>
      <c r="E463" s="9" t="s">
        <v>965</v>
      </c>
      <c r="F463" s="4">
        <v>45911</v>
      </c>
      <c r="G463" s="6" t="s">
        <v>964</v>
      </c>
      <c r="H463" s="4">
        <v>45915</v>
      </c>
    </row>
    <row r="464" spans="1:11" ht="15">
      <c r="A464" s="7">
        <v>463</v>
      </c>
      <c r="B464" s="2" t="s">
        <v>919</v>
      </c>
      <c r="C464" s="3">
        <v>58500</v>
      </c>
      <c r="D464" s="3">
        <v>0</v>
      </c>
      <c r="E464" s="9" t="s">
        <v>967</v>
      </c>
      <c r="F464" s="4">
        <v>45910</v>
      </c>
      <c r="G464" s="6" t="s">
        <v>966</v>
      </c>
      <c r="H464" s="4">
        <v>45914</v>
      </c>
    </row>
    <row r="465" spans="1:8" ht="15">
      <c r="A465" s="7">
        <v>464</v>
      </c>
      <c r="B465" s="2" t="s">
        <v>80</v>
      </c>
      <c r="C465" s="3">
        <v>61000</v>
      </c>
      <c r="D465" s="3">
        <v>1000</v>
      </c>
      <c r="E465" s="9" t="s">
        <v>969</v>
      </c>
      <c r="F465" s="4">
        <v>45909</v>
      </c>
      <c r="G465" s="6" t="s">
        <v>968</v>
      </c>
      <c r="H465" s="4" t="s">
        <v>144</v>
      </c>
    </row>
    <row r="466" spans="1:8" ht="15">
      <c r="A466" s="7">
        <v>465</v>
      </c>
      <c r="B466" s="2" t="s">
        <v>80</v>
      </c>
      <c r="C466" s="3">
        <v>58000</v>
      </c>
      <c r="D466" s="3">
        <v>0</v>
      </c>
      <c r="E466" s="9" t="s">
        <v>971</v>
      </c>
      <c r="F466" s="4">
        <v>45909</v>
      </c>
      <c r="G466" s="6" t="s">
        <v>970</v>
      </c>
      <c r="H466" s="4">
        <v>45913</v>
      </c>
    </row>
    <row r="467" spans="1:8" ht="15">
      <c r="A467" s="7">
        <v>466</v>
      </c>
      <c r="B467" s="2" t="s">
        <v>825</v>
      </c>
      <c r="C467" s="3">
        <v>68000</v>
      </c>
      <c r="D467" s="3">
        <v>8000</v>
      </c>
      <c r="E467" s="9" t="s">
        <v>46</v>
      </c>
      <c r="F467" s="4">
        <v>45907</v>
      </c>
      <c r="G467" s="6" t="s">
        <v>972</v>
      </c>
      <c r="H467" s="4">
        <v>45910</v>
      </c>
    </row>
    <row r="468" spans="1:8" ht="15">
      <c r="A468" s="7">
        <v>467</v>
      </c>
      <c r="B468" s="2" t="s">
        <v>974</v>
      </c>
      <c r="C468" s="3">
        <v>78000</v>
      </c>
      <c r="D468" s="3">
        <v>11000</v>
      </c>
      <c r="E468" s="9" t="s">
        <v>27</v>
      </c>
      <c r="F468" s="4">
        <v>45916</v>
      </c>
      <c r="G468" s="6" t="s">
        <v>973</v>
      </c>
      <c r="H468" s="4">
        <v>45918</v>
      </c>
    </row>
    <row r="469" spans="1:8" ht="15">
      <c r="A469" s="7">
        <v>468</v>
      </c>
      <c r="B469" s="2" t="s">
        <v>705</v>
      </c>
      <c r="C469" s="3">
        <v>86999</v>
      </c>
      <c r="D469" s="3">
        <v>26999</v>
      </c>
      <c r="E469" s="9" t="s">
        <v>976</v>
      </c>
      <c r="F469" s="4">
        <v>45915</v>
      </c>
      <c r="G469" s="6" t="s">
        <v>975</v>
      </c>
      <c r="H469" s="4">
        <v>45917</v>
      </c>
    </row>
    <row r="470" spans="1:8" ht="15">
      <c r="A470" s="7">
        <v>469</v>
      </c>
      <c r="B470" s="2" t="s">
        <v>981</v>
      </c>
      <c r="C470" s="3">
        <v>61240</v>
      </c>
      <c r="D470" s="3">
        <v>1240</v>
      </c>
      <c r="E470" s="9" t="s">
        <v>982</v>
      </c>
      <c r="F470" s="4">
        <v>45921</v>
      </c>
      <c r="G470" s="6" t="s">
        <v>980</v>
      </c>
      <c r="H470" s="4">
        <v>45925</v>
      </c>
    </row>
    <row r="471" spans="1:8" ht="15">
      <c r="A471" s="7">
        <v>470</v>
      </c>
      <c r="B471" s="2" t="s">
        <v>984</v>
      </c>
      <c r="C471" s="3">
        <v>126000</v>
      </c>
      <c r="D471" s="3">
        <v>66000</v>
      </c>
      <c r="E471" s="9" t="s">
        <v>17</v>
      </c>
      <c r="F471" s="4">
        <v>45919</v>
      </c>
      <c r="G471" s="6" t="s">
        <v>983</v>
      </c>
      <c r="H471" s="4">
        <v>45922</v>
      </c>
    </row>
    <row r="472" spans="1:8" ht="15">
      <c r="A472" s="7">
        <v>471</v>
      </c>
      <c r="B472" s="2" t="s">
        <v>985</v>
      </c>
      <c r="C472" s="3">
        <v>64000</v>
      </c>
      <c r="D472" s="3">
        <v>4000</v>
      </c>
      <c r="E472" s="9" t="s">
        <v>54</v>
      </c>
      <c r="F472" s="4">
        <v>45918</v>
      </c>
      <c r="G472" s="6" t="s">
        <v>986</v>
      </c>
      <c r="H472" s="4">
        <v>45921</v>
      </c>
    </row>
    <row r="473" spans="1:8" ht="15">
      <c r="A473" s="7">
        <v>472</v>
      </c>
      <c r="B473" s="2" t="s">
        <v>987</v>
      </c>
      <c r="C473" s="3">
        <v>60000</v>
      </c>
      <c r="D473" s="3">
        <v>0</v>
      </c>
      <c r="E473" s="9" t="s">
        <v>20</v>
      </c>
      <c r="F473" s="4">
        <v>45918</v>
      </c>
      <c r="G473" s="6" t="s">
        <v>986</v>
      </c>
      <c r="H473" s="4">
        <v>45921</v>
      </c>
    </row>
    <row r="474" spans="1:8" ht="15">
      <c r="A474" s="7">
        <v>473</v>
      </c>
      <c r="B474" s="2" t="s">
        <v>868</v>
      </c>
      <c r="C474" s="3">
        <v>62000</v>
      </c>
      <c r="D474" s="3">
        <v>2000</v>
      </c>
      <c r="E474" s="9" t="s">
        <v>906</v>
      </c>
      <c r="F474" s="4">
        <v>45918</v>
      </c>
      <c r="G474" s="6" t="s">
        <v>986</v>
      </c>
      <c r="H474" s="4">
        <v>45921</v>
      </c>
    </row>
    <row r="475" spans="1:8" ht="15">
      <c r="A475" s="7">
        <v>474</v>
      </c>
      <c r="B475" s="2" t="s">
        <v>988</v>
      </c>
      <c r="C475" s="3">
        <v>75000</v>
      </c>
      <c r="D475" s="3">
        <v>15000</v>
      </c>
      <c r="E475" s="9" t="s">
        <v>33</v>
      </c>
      <c r="F475" s="4">
        <v>45917</v>
      </c>
      <c r="G475" s="6" t="s">
        <v>989</v>
      </c>
      <c r="H475" s="4">
        <v>45920</v>
      </c>
    </row>
    <row r="476" spans="1:8" ht="15">
      <c r="A476" s="7">
        <v>475</v>
      </c>
      <c r="B476" s="2" t="s">
        <v>990</v>
      </c>
      <c r="C476" s="3">
        <v>115000</v>
      </c>
      <c r="D476" s="3">
        <v>0</v>
      </c>
      <c r="E476" s="9" t="s">
        <v>64</v>
      </c>
      <c r="F476" s="4">
        <v>45916</v>
      </c>
      <c r="G476" s="6" t="s">
        <v>991</v>
      </c>
      <c r="H476" s="4">
        <v>45919</v>
      </c>
    </row>
    <row r="477" spans="1:8" ht="15">
      <c r="A477" s="7">
        <v>476</v>
      </c>
      <c r="B477" s="2" t="s">
        <v>993</v>
      </c>
      <c r="C477" s="3">
        <v>90000</v>
      </c>
      <c r="D477" s="3">
        <v>30000</v>
      </c>
      <c r="E477" s="9" t="s">
        <v>658</v>
      </c>
      <c r="F477" s="4">
        <v>45918</v>
      </c>
      <c r="G477" s="6" t="s">
        <v>992</v>
      </c>
      <c r="H477" s="4">
        <v>45921</v>
      </c>
    </row>
    <row r="478" spans="1:8" ht="15">
      <c r="A478" s="7">
        <v>477</v>
      </c>
      <c r="B478" s="2" t="s">
        <v>38</v>
      </c>
      <c r="C478" s="3">
        <v>69000</v>
      </c>
      <c r="D478" s="3">
        <v>9000</v>
      </c>
      <c r="E478" s="9" t="s">
        <v>995</v>
      </c>
      <c r="F478" s="4">
        <v>45917</v>
      </c>
      <c r="G478" s="6" t="s">
        <v>994</v>
      </c>
      <c r="H478" s="4">
        <v>45920</v>
      </c>
    </row>
    <row r="479" spans="1:8" ht="15">
      <c r="A479" s="7">
        <v>478</v>
      </c>
      <c r="B479" s="2" t="s">
        <v>825</v>
      </c>
      <c r="C479" s="3">
        <v>75000</v>
      </c>
      <c r="D479" s="3">
        <v>15000</v>
      </c>
      <c r="E479" s="9" t="s">
        <v>997</v>
      </c>
      <c r="F479" s="4">
        <v>45923</v>
      </c>
      <c r="G479" s="6" t="s">
        <v>996</v>
      </c>
      <c r="H479" s="4">
        <v>45926</v>
      </c>
    </row>
    <row r="480" spans="1:8" ht="15">
      <c r="A480" s="7">
        <v>479</v>
      </c>
      <c r="B480" s="2" t="s">
        <v>190</v>
      </c>
      <c r="C480" s="3">
        <v>139967</v>
      </c>
      <c r="D480" s="3">
        <v>59967</v>
      </c>
      <c r="E480" s="9" t="s">
        <v>44</v>
      </c>
      <c r="F480" s="4">
        <v>45924</v>
      </c>
      <c r="G480" s="6" t="s">
        <v>998</v>
      </c>
      <c r="H480" s="4">
        <v>45929</v>
      </c>
    </row>
    <row r="481" spans="1:8" ht="15">
      <c r="A481" s="7">
        <v>480</v>
      </c>
      <c r="B481" s="2" t="s">
        <v>47</v>
      </c>
      <c r="C481" s="3">
        <v>89982</v>
      </c>
      <c r="D481" s="3">
        <v>9982</v>
      </c>
      <c r="E481" s="9" t="s">
        <v>823</v>
      </c>
      <c r="F481" s="4">
        <v>45924</v>
      </c>
      <c r="G481" s="6" t="s">
        <v>999</v>
      </c>
      <c r="H481" s="4">
        <v>45927</v>
      </c>
    </row>
    <row r="482" spans="1:8" ht="15">
      <c r="A482" s="7">
        <v>481</v>
      </c>
      <c r="B482" s="2" t="s">
        <v>984</v>
      </c>
      <c r="C482" s="3">
        <v>126000</v>
      </c>
      <c r="D482" s="3">
        <v>46000</v>
      </c>
      <c r="E482" s="9" t="s">
        <v>658</v>
      </c>
      <c r="F482" s="4">
        <v>45923</v>
      </c>
      <c r="G482" s="6" t="s">
        <v>1000</v>
      </c>
      <c r="H482" s="4">
        <v>45926</v>
      </c>
    </row>
    <row r="483" spans="1:8" ht="15">
      <c r="A483" s="7">
        <v>482</v>
      </c>
      <c r="B483" s="2" t="s">
        <v>45</v>
      </c>
      <c r="C483" s="3">
        <v>57900</v>
      </c>
      <c r="D483" s="3">
        <v>0</v>
      </c>
      <c r="E483" s="9" t="s">
        <v>95</v>
      </c>
      <c r="F483" s="4">
        <v>45923</v>
      </c>
      <c r="G483" s="6" t="s">
        <v>1001</v>
      </c>
      <c r="H483" s="4">
        <v>45925</v>
      </c>
    </row>
    <row r="484" spans="1:8" ht="15">
      <c r="A484" s="7">
        <v>483</v>
      </c>
      <c r="B484" s="2" t="s">
        <v>45</v>
      </c>
      <c r="C484" s="3">
        <v>57900</v>
      </c>
      <c r="D484" s="3">
        <v>0</v>
      </c>
      <c r="E484" s="9" t="s">
        <v>100</v>
      </c>
      <c r="F484" s="4">
        <v>45922</v>
      </c>
      <c r="G484" s="6" t="s">
        <v>1002</v>
      </c>
      <c r="H484" s="4">
        <v>45924</v>
      </c>
    </row>
    <row r="485" spans="1:8" ht="15">
      <c r="A485" s="7">
        <v>484</v>
      </c>
      <c r="B485" s="2" t="s">
        <v>1005</v>
      </c>
      <c r="C485" s="3">
        <v>64000</v>
      </c>
      <c r="D485" s="3">
        <v>4000</v>
      </c>
      <c r="E485" s="9" t="s">
        <v>1004</v>
      </c>
      <c r="F485" s="4">
        <v>45923</v>
      </c>
      <c r="G485" s="6" t="s">
        <v>1003</v>
      </c>
      <c r="H485" s="4">
        <v>45925</v>
      </c>
    </row>
    <row r="486" spans="1:8" ht="15">
      <c r="A486" s="7">
        <v>485</v>
      </c>
      <c r="B486" s="2" t="s">
        <v>47</v>
      </c>
      <c r="C486" s="3">
        <v>88900</v>
      </c>
      <c r="D486" s="3">
        <v>8900</v>
      </c>
      <c r="E486" s="9" t="s">
        <v>827</v>
      </c>
      <c r="F486" s="4">
        <v>45926</v>
      </c>
      <c r="G486" s="6" t="s">
        <v>1006</v>
      </c>
      <c r="H486" s="4">
        <v>45928</v>
      </c>
    </row>
    <row r="487" spans="1:8" ht="15">
      <c r="A487" s="7">
        <v>486</v>
      </c>
      <c r="B487" s="2" t="s">
        <v>193</v>
      </c>
      <c r="C487" s="3">
        <v>88600</v>
      </c>
      <c r="D487" s="3">
        <v>8600</v>
      </c>
      <c r="E487" s="9" t="s">
        <v>100</v>
      </c>
      <c r="F487" s="4">
        <v>45926</v>
      </c>
      <c r="G487" s="6" t="s">
        <v>1007</v>
      </c>
      <c r="H487" s="4">
        <v>45929</v>
      </c>
    </row>
    <row r="488" spans="1:8" ht="15">
      <c r="A488" s="7">
        <v>487</v>
      </c>
      <c r="B488" s="2" t="s">
        <v>1010</v>
      </c>
      <c r="C488" s="3">
        <v>105000</v>
      </c>
      <c r="D488" s="3">
        <v>5000</v>
      </c>
      <c r="E488" s="9" t="s">
        <v>1009</v>
      </c>
      <c r="F488" s="4">
        <v>45930</v>
      </c>
      <c r="G488" s="6" t="s">
        <v>1008</v>
      </c>
      <c r="H488" s="4">
        <v>45932</v>
      </c>
    </row>
    <row r="489" spans="1:8" ht="15">
      <c r="A489" s="7">
        <v>488</v>
      </c>
      <c r="B489" s="2" t="s">
        <v>1012</v>
      </c>
      <c r="C489" s="3">
        <v>154000</v>
      </c>
      <c r="D489" s="3">
        <v>54000</v>
      </c>
      <c r="E489" s="9" t="s">
        <v>658</v>
      </c>
      <c r="F489" s="4">
        <v>45930</v>
      </c>
      <c r="G489" s="6" t="s">
        <v>1011</v>
      </c>
      <c r="H489" s="4">
        <v>45933</v>
      </c>
    </row>
    <row r="490" spans="1:8" ht="15">
      <c r="A490" s="7">
        <v>489</v>
      </c>
      <c r="B490" s="2" t="s">
        <v>1012</v>
      </c>
      <c r="C490" s="3">
        <v>154000</v>
      </c>
      <c r="D490" s="3">
        <v>77000</v>
      </c>
      <c r="E490" s="9" t="s">
        <v>1014</v>
      </c>
      <c r="F490" s="4">
        <v>45930</v>
      </c>
      <c r="G490" s="6" t="s">
        <v>1013</v>
      </c>
      <c r="H490" s="4">
        <v>45933</v>
      </c>
    </row>
    <row r="491" spans="1:8" ht="15">
      <c r="A491" s="7">
        <v>490</v>
      </c>
      <c r="B491" s="2" t="s">
        <v>1017</v>
      </c>
      <c r="C491" s="3">
        <v>107300</v>
      </c>
      <c r="D491" s="3">
        <v>7300</v>
      </c>
      <c r="E491" s="9" t="s">
        <v>1016</v>
      </c>
      <c r="F491" s="4">
        <v>45931</v>
      </c>
      <c r="G491" s="6" t="s">
        <v>1015</v>
      </c>
      <c r="H491" s="4">
        <v>45933</v>
      </c>
    </row>
    <row r="492" spans="1:8" ht="15">
      <c r="A492" s="7">
        <v>491</v>
      </c>
      <c r="B492" s="2" t="s">
        <v>1020</v>
      </c>
      <c r="C492" s="3">
        <v>74500</v>
      </c>
      <c r="D492" s="3">
        <v>14500</v>
      </c>
      <c r="E492" s="9" t="s">
        <v>1019</v>
      </c>
      <c r="F492" s="4">
        <v>45932</v>
      </c>
      <c r="G492" s="6" t="s">
        <v>1018</v>
      </c>
      <c r="H492" s="4">
        <v>45935</v>
      </c>
    </row>
    <row r="493" spans="1:8" ht="15">
      <c r="A493" s="7">
        <v>492</v>
      </c>
      <c r="B493" s="2" t="s">
        <v>1012</v>
      </c>
      <c r="C493" s="3">
        <v>154000</v>
      </c>
      <c r="D493" s="3">
        <v>54000</v>
      </c>
      <c r="E493" s="9" t="s">
        <v>95</v>
      </c>
      <c r="F493" s="4">
        <v>45930</v>
      </c>
      <c r="G493" s="6" t="s">
        <v>1021</v>
      </c>
      <c r="H493" s="4">
        <v>45932</v>
      </c>
    </row>
    <row r="494" spans="1:8" ht="15">
      <c r="A494" s="7">
        <v>493</v>
      </c>
      <c r="B494" s="2" t="s">
        <v>1023</v>
      </c>
      <c r="C494" s="3">
        <v>148000</v>
      </c>
      <c r="D494" s="3">
        <v>88000</v>
      </c>
      <c r="E494" s="9" t="s">
        <v>44</v>
      </c>
      <c r="F494" s="4">
        <v>45930</v>
      </c>
      <c r="G494" s="6" t="s">
        <v>1022</v>
      </c>
      <c r="H494" s="4">
        <v>45933</v>
      </c>
    </row>
    <row r="495" spans="1:8" ht="15">
      <c r="A495" s="7">
        <v>494</v>
      </c>
      <c r="B495" s="2" t="s">
        <v>45</v>
      </c>
      <c r="C495" s="3">
        <v>66800</v>
      </c>
      <c r="D495" s="3">
        <v>6800</v>
      </c>
      <c r="E495" s="9" t="s">
        <v>147</v>
      </c>
      <c r="F495" s="4">
        <v>45931</v>
      </c>
      <c r="G495" s="6" t="s">
        <v>1024</v>
      </c>
      <c r="H495" s="4">
        <v>45934</v>
      </c>
    </row>
    <row r="496" spans="1:8" ht="15">
      <c r="A496" s="7">
        <v>495</v>
      </c>
      <c r="B496" s="2" t="s">
        <v>59</v>
      </c>
      <c r="C496" s="3">
        <v>68000</v>
      </c>
      <c r="D496" s="3">
        <v>8000</v>
      </c>
      <c r="E496" s="9" t="s">
        <v>170</v>
      </c>
      <c r="F496" s="4">
        <v>45931</v>
      </c>
      <c r="G496" s="6" t="s">
        <v>1025</v>
      </c>
      <c r="H496" s="4">
        <v>45935</v>
      </c>
    </row>
    <row r="497" spans="1:8" ht="15">
      <c r="A497" s="7">
        <v>496</v>
      </c>
      <c r="B497" s="2" t="s">
        <v>80</v>
      </c>
      <c r="C497" s="3">
        <v>59900</v>
      </c>
      <c r="D497" s="3">
        <v>0</v>
      </c>
      <c r="E497" s="9" t="s">
        <v>123</v>
      </c>
      <c r="F497" s="4">
        <v>45933</v>
      </c>
      <c r="G497" s="6" t="s">
        <v>1026</v>
      </c>
      <c r="H497" s="4">
        <v>45936</v>
      </c>
    </row>
    <row r="498" spans="1:8" ht="15">
      <c r="A498" s="7">
        <v>497</v>
      </c>
      <c r="B498" s="2" t="s">
        <v>80</v>
      </c>
      <c r="C498" s="3">
        <v>59900</v>
      </c>
      <c r="D498" s="3">
        <v>0</v>
      </c>
      <c r="E498" s="9" t="s">
        <v>141</v>
      </c>
      <c r="F498" s="4">
        <v>45935</v>
      </c>
      <c r="G498" s="6" t="s">
        <v>1035</v>
      </c>
      <c r="H498" s="4">
        <v>45938</v>
      </c>
    </row>
    <row r="499" spans="1:8" ht="15">
      <c r="A499" s="7">
        <v>498</v>
      </c>
      <c r="B499" s="2" t="s">
        <v>1028</v>
      </c>
      <c r="C499" s="3">
        <v>89900</v>
      </c>
      <c r="D499" s="3">
        <v>29900</v>
      </c>
      <c r="E499" s="9" t="s">
        <v>823</v>
      </c>
      <c r="F499" s="4">
        <v>45935</v>
      </c>
      <c r="G499" s="6" t="s">
        <v>1027</v>
      </c>
      <c r="H499" s="4">
        <v>45937</v>
      </c>
    </row>
    <row r="500" spans="1:8" ht="15">
      <c r="A500" s="7">
        <v>499</v>
      </c>
      <c r="B500" s="2" t="s">
        <v>1030</v>
      </c>
      <c r="C500" s="3">
        <v>102000</v>
      </c>
      <c r="D500" s="3">
        <v>42000</v>
      </c>
      <c r="E500" s="9" t="s">
        <v>27</v>
      </c>
      <c r="F500" s="4">
        <v>45933</v>
      </c>
      <c r="G500" s="6" t="s">
        <v>1029</v>
      </c>
      <c r="H500" s="4">
        <v>45936</v>
      </c>
    </row>
    <row r="501" spans="1:8" ht="15">
      <c r="A501" s="7">
        <v>500</v>
      </c>
      <c r="B501" s="2" t="s">
        <v>1033</v>
      </c>
      <c r="C501" s="3">
        <v>87000</v>
      </c>
      <c r="D501" s="3">
        <v>7000</v>
      </c>
      <c r="E501" s="9" t="s">
        <v>1032</v>
      </c>
      <c r="F501" s="4">
        <v>45932</v>
      </c>
      <c r="G501" s="6" t="s">
        <v>1031</v>
      </c>
      <c r="H501" s="4">
        <v>45935</v>
      </c>
    </row>
    <row r="502" spans="1:8" ht="15">
      <c r="A502" s="7">
        <v>501</v>
      </c>
      <c r="B502" s="2" t="s">
        <v>1037</v>
      </c>
      <c r="C502" s="3">
        <v>154000</v>
      </c>
      <c r="D502" s="3">
        <v>84000</v>
      </c>
      <c r="E502" s="9" t="s">
        <v>24</v>
      </c>
      <c r="F502" s="4">
        <v>45937</v>
      </c>
      <c r="G502" s="6" t="s">
        <v>1036</v>
      </c>
      <c r="H502" s="4">
        <v>45940</v>
      </c>
    </row>
    <row r="503" spans="1:8" ht="15">
      <c r="A503" s="7">
        <v>502</v>
      </c>
      <c r="B503" s="2" t="s">
        <v>1039</v>
      </c>
      <c r="C503" s="3">
        <v>79000</v>
      </c>
      <c r="D503" s="3">
        <v>9000</v>
      </c>
      <c r="E503" s="9" t="s">
        <v>89</v>
      </c>
      <c r="F503" s="4">
        <v>45939</v>
      </c>
      <c r="G503" s="6" t="s">
        <v>1038</v>
      </c>
      <c r="H503" s="4">
        <v>45941</v>
      </c>
    </row>
    <row r="504" spans="1:8" ht="15">
      <c r="A504" s="7">
        <v>503</v>
      </c>
      <c r="B504" s="2" t="s">
        <v>1041</v>
      </c>
      <c r="C504" s="3">
        <f>57850*2</f>
        <v>115700</v>
      </c>
      <c r="D504" s="3" t="s">
        <v>780</v>
      </c>
      <c r="E504" s="9" t="s">
        <v>965</v>
      </c>
      <c r="F504" s="4">
        <v>45938</v>
      </c>
      <c r="G504" s="6" t="s">
        <v>1040</v>
      </c>
      <c r="H504" s="4">
        <v>45941</v>
      </c>
    </row>
    <row r="505" spans="1:8" ht="15">
      <c r="A505" s="7">
        <v>504</v>
      </c>
      <c r="B505" s="2" t="s">
        <v>45</v>
      </c>
      <c r="C505" s="3">
        <v>57900</v>
      </c>
      <c r="D505" s="3">
        <v>0</v>
      </c>
      <c r="E505" s="9" t="s">
        <v>85</v>
      </c>
      <c r="F505" s="4">
        <v>45938</v>
      </c>
      <c r="G505" s="6" t="s">
        <v>1042</v>
      </c>
      <c r="H505" s="4">
        <v>45939</v>
      </c>
    </row>
    <row r="506" spans="1:8" ht="15">
      <c r="A506" s="7">
        <v>505</v>
      </c>
      <c r="B506" s="2" t="s">
        <v>1044</v>
      </c>
      <c r="C506" s="3">
        <v>131500</v>
      </c>
      <c r="D506" s="3">
        <v>71500</v>
      </c>
      <c r="E506" s="9" t="s">
        <v>1045</v>
      </c>
      <c r="F506" s="4">
        <v>45937</v>
      </c>
      <c r="G506" s="6" t="s">
        <v>1043</v>
      </c>
      <c r="H506" s="4">
        <v>45939</v>
      </c>
    </row>
    <row r="507" spans="1:8" ht="15">
      <c r="A507" s="7">
        <v>506</v>
      </c>
      <c r="B507" s="2" t="s">
        <v>985</v>
      </c>
      <c r="C507" s="3">
        <v>70000</v>
      </c>
      <c r="D507" s="3">
        <v>0</v>
      </c>
      <c r="E507" s="9" t="s">
        <v>12</v>
      </c>
      <c r="F507" s="4">
        <v>45941</v>
      </c>
      <c r="G507" s="6" t="s">
        <v>1046</v>
      </c>
      <c r="H507" s="4" t="s">
        <v>144</v>
      </c>
    </row>
    <row r="508" spans="1:8" ht="15">
      <c r="A508" s="7">
        <v>507</v>
      </c>
      <c r="B508" s="2" t="s">
        <v>1048</v>
      </c>
      <c r="C508" s="3">
        <v>110000</v>
      </c>
      <c r="D508" s="3">
        <v>29000</v>
      </c>
      <c r="E508" s="9" t="s">
        <v>614</v>
      </c>
      <c r="F508" s="4">
        <v>45940</v>
      </c>
      <c r="G508" s="6" t="s">
        <v>1047</v>
      </c>
      <c r="H508" s="4" t="s">
        <v>144</v>
      </c>
    </row>
    <row r="509" spans="1:8" ht="15">
      <c r="A509" s="7">
        <v>508</v>
      </c>
      <c r="B509" s="2" t="s">
        <v>1050</v>
      </c>
      <c r="C509" s="3">
        <v>131500</v>
      </c>
      <c r="D509" s="3">
        <v>61500</v>
      </c>
      <c r="E509" s="9" t="s">
        <v>120</v>
      </c>
      <c r="F509" s="4">
        <v>45940</v>
      </c>
      <c r="G509" s="6" t="s">
        <v>1049</v>
      </c>
      <c r="H509" s="4">
        <v>45943</v>
      </c>
    </row>
    <row r="510" spans="1:8" ht="15">
      <c r="A510" s="7">
        <v>509</v>
      </c>
      <c r="B510" s="2" t="s">
        <v>84</v>
      </c>
      <c r="C510" s="3">
        <v>72998</v>
      </c>
      <c r="D510" s="3">
        <v>2998</v>
      </c>
      <c r="E510" s="9" t="s">
        <v>146</v>
      </c>
      <c r="F510" s="4">
        <v>45940</v>
      </c>
      <c r="G510" s="6" t="s">
        <v>1051</v>
      </c>
      <c r="H510" s="4">
        <v>45943</v>
      </c>
    </row>
    <row r="511" spans="1:8" ht="15">
      <c r="A511" s="7">
        <v>510</v>
      </c>
      <c r="B511" s="2" t="s">
        <v>45</v>
      </c>
      <c r="C511" s="3">
        <v>71800</v>
      </c>
      <c r="D511" s="3">
        <v>1800</v>
      </c>
      <c r="E511" s="9" t="s">
        <v>1053</v>
      </c>
      <c r="F511" s="4">
        <v>45939</v>
      </c>
      <c r="G511" s="6" t="s">
        <v>1052</v>
      </c>
      <c r="H511" s="4">
        <v>45943</v>
      </c>
    </row>
    <row r="512" spans="1:8" ht="15">
      <c r="A512" s="7">
        <v>511</v>
      </c>
      <c r="B512" s="2" t="s">
        <v>111</v>
      </c>
      <c r="C512" s="3">
        <v>119800</v>
      </c>
      <c r="D512" s="3">
        <v>49800</v>
      </c>
      <c r="E512" s="9" t="s">
        <v>87</v>
      </c>
      <c r="F512" s="4">
        <v>45939</v>
      </c>
      <c r="G512" s="6" t="s">
        <v>1054</v>
      </c>
      <c r="H512" s="4">
        <v>45943</v>
      </c>
    </row>
    <row r="513" spans="1:9" ht="15">
      <c r="A513" s="7">
        <v>512</v>
      </c>
      <c r="B513" s="2" t="s">
        <v>985</v>
      </c>
      <c r="C513" s="3">
        <v>64000</v>
      </c>
      <c r="D513" s="3">
        <v>0</v>
      </c>
      <c r="E513" s="9" t="s">
        <v>72</v>
      </c>
      <c r="F513" s="4">
        <v>45944</v>
      </c>
      <c r="G513" s="6" t="s">
        <v>1056</v>
      </c>
      <c r="H513" s="4">
        <v>45949</v>
      </c>
    </row>
    <row r="514" spans="1:9" ht="15">
      <c r="A514" s="7">
        <v>513</v>
      </c>
      <c r="B514" s="2" t="s">
        <v>1058</v>
      </c>
      <c r="C514" s="3">
        <v>139000</v>
      </c>
      <c r="D514" s="3">
        <v>69000</v>
      </c>
      <c r="E514" s="9" t="s">
        <v>169</v>
      </c>
      <c r="F514" s="4">
        <v>45944</v>
      </c>
      <c r="G514" s="6" t="s">
        <v>1057</v>
      </c>
      <c r="H514" s="4">
        <v>45947</v>
      </c>
    </row>
    <row r="515" spans="1:9" ht="15">
      <c r="A515" s="7">
        <v>514</v>
      </c>
      <c r="B515" s="2" t="s">
        <v>154</v>
      </c>
      <c r="C515" s="3">
        <v>115800</v>
      </c>
      <c r="D515" s="3">
        <v>45800</v>
      </c>
      <c r="E515" s="9" t="s">
        <v>97</v>
      </c>
      <c r="F515" s="4">
        <v>45943</v>
      </c>
      <c r="G515" s="6" t="s">
        <v>1059</v>
      </c>
      <c r="H515" s="4">
        <v>45945</v>
      </c>
    </row>
    <row r="516" spans="1:9" ht="15">
      <c r="A516" s="7">
        <v>515</v>
      </c>
      <c r="B516" s="2" t="s">
        <v>1028</v>
      </c>
      <c r="C516" s="3">
        <v>95900</v>
      </c>
      <c r="D516" s="3">
        <v>25900</v>
      </c>
      <c r="E516" s="9" t="s">
        <v>83</v>
      </c>
      <c r="F516" s="4">
        <v>45943</v>
      </c>
      <c r="G516" s="6" t="s">
        <v>1060</v>
      </c>
      <c r="H516" s="4">
        <v>45945</v>
      </c>
    </row>
    <row r="517" spans="1:9" ht="15">
      <c r="A517" s="7">
        <v>516</v>
      </c>
      <c r="B517" s="2" t="s">
        <v>1066</v>
      </c>
      <c r="C517" s="3">
        <v>75700</v>
      </c>
      <c r="D517" s="3">
        <v>5700</v>
      </c>
      <c r="E517" s="9" t="s">
        <v>1065</v>
      </c>
      <c r="F517" s="4">
        <v>45947</v>
      </c>
      <c r="G517" s="6" t="s">
        <v>1064</v>
      </c>
      <c r="H517" s="4">
        <v>45951</v>
      </c>
    </row>
    <row r="518" spans="1:9" ht="15">
      <c r="A518" s="7">
        <v>517</v>
      </c>
      <c r="B518" s="2" t="s">
        <v>931</v>
      </c>
      <c r="C518" s="3">
        <v>69000</v>
      </c>
      <c r="D518" s="3">
        <v>0</v>
      </c>
      <c r="E518" s="9" t="s">
        <v>147</v>
      </c>
      <c r="F518" s="4">
        <v>45947</v>
      </c>
      <c r="G518" s="6" t="s">
        <v>1067</v>
      </c>
      <c r="H518" s="4">
        <v>45949</v>
      </c>
    </row>
    <row r="519" spans="1:9" ht="15">
      <c r="A519" s="7">
        <v>518</v>
      </c>
      <c r="B519" s="2" t="s">
        <v>1070</v>
      </c>
      <c r="C519" s="3">
        <v>75000</v>
      </c>
      <c r="D519" s="3">
        <v>5000</v>
      </c>
      <c r="E519" s="9" t="s">
        <v>1069</v>
      </c>
      <c r="F519" s="4">
        <v>45946</v>
      </c>
      <c r="G519" s="6" t="s">
        <v>1068</v>
      </c>
      <c r="H519" s="4">
        <v>45949</v>
      </c>
    </row>
    <row r="520" spans="1:9" ht="15">
      <c r="A520" s="7">
        <v>519</v>
      </c>
      <c r="B520" s="2" t="s">
        <v>1072</v>
      </c>
      <c r="C520" s="3">
        <v>74250</v>
      </c>
      <c r="D520" s="3">
        <v>4250</v>
      </c>
      <c r="E520" s="9" t="s">
        <v>24</v>
      </c>
      <c r="F520" s="4">
        <v>45946</v>
      </c>
      <c r="G520" s="6" t="s">
        <v>1071</v>
      </c>
      <c r="H520" s="4">
        <v>45948</v>
      </c>
    </row>
    <row r="521" spans="1:9" ht="15">
      <c r="A521" s="7">
        <v>520</v>
      </c>
      <c r="B521" s="2" t="s">
        <v>9</v>
      </c>
      <c r="C521" s="3">
        <v>124500</v>
      </c>
      <c r="D521" s="3">
        <v>54500</v>
      </c>
      <c r="E521" s="9" t="s">
        <v>952</v>
      </c>
      <c r="F521" s="4">
        <v>45944</v>
      </c>
      <c r="G521" s="6" t="s">
        <v>1073</v>
      </c>
      <c r="H521" s="4">
        <v>45947</v>
      </c>
      <c r="I521" t="s">
        <v>1074</v>
      </c>
    </row>
    <row r="522" spans="1:9" ht="15">
      <c r="A522" s="7">
        <v>521</v>
      </c>
      <c r="B522" s="2" t="s">
        <v>1077</v>
      </c>
      <c r="C522" s="3">
        <v>73000</v>
      </c>
      <c r="D522" s="3">
        <v>3000</v>
      </c>
      <c r="E522" s="9" t="s">
        <v>1076</v>
      </c>
      <c r="F522" s="4">
        <v>45948</v>
      </c>
      <c r="G522" s="6" t="s">
        <v>1075</v>
      </c>
      <c r="H522" s="4">
        <v>45951</v>
      </c>
    </row>
    <row r="523" spans="1:9" ht="15">
      <c r="A523" s="7">
        <v>522</v>
      </c>
      <c r="B523" s="2" t="s">
        <v>154</v>
      </c>
      <c r="C523" s="3">
        <v>115800</v>
      </c>
      <c r="D523" s="3">
        <v>45800</v>
      </c>
      <c r="E523" s="9" t="s">
        <v>169</v>
      </c>
      <c r="F523" s="4">
        <v>45950</v>
      </c>
      <c r="G523" s="6" t="s">
        <v>1078</v>
      </c>
      <c r="H523" s="4">
        <v>45953</v>
      </c>
    </row>
    <row r="524" spans="1:9" ht="15">
      <c r="A524" s="7">
        <v>523</v>
      </c>
      <c r="B524" s="2" t="s">
        <v>1080</v>
      </c>
      <c r="C524" s="3">
        <v>154000</v>
      </c>
      <c r="D524" s="3">
        <v>84000</v>
      </c>
      <c r="E524" s="9" t="s">
        <v>89</v>
      </c>
      <c r="F524" s="4">
        <v>45949</v>
      </c>
      <c r="G524" s="6" t="s">
        <v>1079</v>
      </c>
      <c r="H524" s="4">
        <v>45953</v>
      </c>
    </row>
    <row r="525" spans="1:9" ht="15">
      <c r="A525" s="7">
        <v>524</v>
      </c>
      <c r="B525" s="2" t="s">
        <v>1083</v>
      </c>
      <c r="C525" s="3">
        <v>75000</v>
      </c>
      <c r="D525" s="3">
        <v>4250</v>
      </c>
      <c r="E525" s="9" t="s">
        <v>1082</v>
      </c>
      <c r="F525" s="4">
        <v>45948</v>
      </c>
      <c r="G525" s="6" t="s">
        <v>1081</v>
      </c>
      <c r="H525" s="4">
        <v>45955</v>
      </c>
    </row>
    <row r="526" spans="1:9" ht="15">
      <c r="A526" s="7">
        <v>525</v>
      </c>
      <c r="B526" s="2" t="s">
        <v>165</v>
      </c>
      <c r="C526" s="3">
        <v>63810</v>
      </c>
      <c r="D526" s="3">
        <v>0</v>
      </c>
      <c r="E526" s="9" t="s">
        <v>71</v>
      </c>
      <c r="F526" s="4">
        <v>45948</v>
      </c>
      <c r="G526" s="6" t="s">
        <v>1084</v>
      </c>
      <c r="H526" s="4">
        <v>45951</v>
      </c>
    </row>
    <row r="527" spans="1:9" ht="15">
      <c r="A527" s="7">
        <v>526</v>
      </c>
      <c r="B527" s="2" t="s">
        <v>165</v>
      </c>
      <c r="C527" s="3">
        <v>70000</v>
      </c>
      <c r="D527" s="3">
        <v>0</v>
      </c>
      <c r="E527" s="9" t="s">
        <v>1032</v>
      </c>
      <c r="F527" s="4">
        <v>45948</v>
      </c>
      <c r="G527" s="6" t="s">
        <v>1085</v>
      </c>
      <c r="H527" s="4">
        <v>45951</v>
      </c>
    </row>
    <row r="528" spans="1:9" ht="15">
      <c r="A528" s="7">
        <v>527</v>
      </c>
      <c r="B528" s="2" t="s">
        <v>45</v>
      </c>
      <c r="C528" s="3">
        <v>71800</v>
      </c>
      <c r="D528" s="3">
        <v>1800</v>
      </c>
      <c r="E528" s="9" t="s">
        <v>44</v>
      </c>
      <c r="F528" s="4">
        <v>45958</v>
      </c>
      <c r="G528" s="6" t="s">
        <v>1088</v>
      </c>
      <c r="H528" s="4">
        <v>45960</v>
      </c>
    </row>
    <row r="529" spans="1:8" ht="15">
      <c r="A529" s="7">
        <v>528</v>
      </c>
      <c r="B529" s="17" t="s">
        <v>168</v>
      </c>
      <c r="C529" s="5">
        <v>75050</v>
      </c>
      <c r="D529" s="5">
        <v>5050</v>
      </c>
      <c r="E529" s="10" t="s">
        <v>77</v>
      </c>
      <c r="F529" s="4">
        <v>45955</v>
      </c>
      <c r="G529" s="6" t="s">
        <v>1089</v>
      </c>
      <c r="H529" s="4">
        <v>45958</v>
      </c>
    </row>
    <row r="530" spans="1:8" ht="15">
      <c r="A530" s="7">
        <v>529</v>
      </c>
      <c r="B530" s="2" t="s">
        <v>45</v>
      </c>
      <c r="C530" s="3">
        <v>77000</v>
      </c>
      <c r="D530" s="3">
        <v>7000</v>
      </c>
      <c r="E530" s="9" t="s">
        <v>841</v>
      </c>
      <c r="F530" s="4">
        <v>45955</v>
      </c>
      <c r="G530" s="6" t="s">
        <v>1091</v>
      </c>
      <c r="H530" s="4">
        <v>45958</v>
      </c>
    </row>
    <row r="531" spans="1:8" ht="15">
      <c r="A531" s="7">
        <v>530</v>
      </c>
      <c r="B531" s="2" t="s">
        <v>1093</v>
      </c>
      <c r="C531" s="3">
        <v>87000</v>
      </c>
      <c r="D531" s="3">
        <v>12650</v>
      </c>
      <c r="E531" s="9" t="s">
        <v>1092</v>
      </c>
      <c r="F531" s="4">
        <v>45956</v>
      </c>
      <c r="G531" s="6" t="s">
        <v>1090</v>
      </c>
      <c r="H531" s="4">
        <v>45960</v>
      </c>
    </row>
    <row r="532" spans="1:8" ht="15">
      <c r="A532" s="7">
        <v>531</v>
      </c>
      <c r="B532" s="2" t="s">
        <v>1095</v>
      </c>
      <c r="C532" s="3">
        <v>61800</v>
      </c>
      <c r="D532" s="3">
        <v>0</v>
      </c>
      <c r="E532" s="9" t="s">
        <v>15</v>
      </c>
      <c r="F532" s="4">
        <v>45954</v>
      </c>
      <c r="G532" s="6" t="s">
        <v>1094</v>
      </c>
      <c r="H532" s="4">
        <v>45957</v>
      </c>
    </row>
    <row r="533" spans="1:8" ht="15">
      <c r="A533" s="7">
        <v>532</v>
      </c>
      <c r="B533" s="2" t="s">
        <v>1097</v>
      </c>
      <c r="C533" s="3">
        <v>72870</v>
      </c>
      <c r="D533" s="3">
        <v>2870</v>
      </c>
      <c r="E533" s="9" t="s">
        <v>997</v>
      </c>
      <c r="F533" s="4">
        <v>45953</v>
      </c>
      <c r="G533" s="6" t="s">
        <v>1096</v>
      </c>
      <c r="H533" s="4">
        <v>45955</v>
      </c>
    </row>
    <row r="534" spans="1:8" ht="15">
      <c r="A534" s="7">
        <v>533</v>
      </c>
      <c r="B534" s="2" t="s">
        <v>165</v>
      </c>
      <c r="C534" s="3">
        <v>70000</v>
      </c>
      <c r="D534" s="3">
        <v>0</v>
      </c>
      <c r="E534" s="9" t="s">
        <v>810</v>
      </c>
      <c r="F534" s="4">
        <v>45951</v>
      </c>
      <c r="G534" s="6" t="s">
        <v>1098</v>
      </c>
      <c r="H534" s="4">
        <v>45954</v>
      </c>
    </row>
    <row r="535" spans="1:8" ht="15">
      <c r="A535" s="7">
        <v>534</v>
      </c>
      <c r="B535" s="2" t="s">
        <v>1100</v>
      </c>
      <c r="C535" s="3">
        <v>83500</v>
      </c>
      <c r="D535" s="3">
        <v>3500</v>
      </c>
      <c r="E535" s="9" t="s">
        <v>15</v>
      </c>
      <c r="F535" s="4">
        <v>45962</v>
      </c>
      <c r="G535" s="6" t="s">
        <v>1099</v>
      </c>
      <c r="H535" s="4">
        <v>45964</v>
      </c>
    </row>
    <row r="536" spans="1:8" ht="15">
      <c r="A536" s="7">
        <v>535</v>
      </c>
      <c r="B536" s="2" t="s">
        <v>1103</v>
      </c>
      <c r="C536" s="3">
        <v>85911</v>
      </c>
      <c r="D536" s="3">
        <v>5911</v>
      </c>
      <c r="E536" s="9" t="s">
        <v>1102</v>
      </c>
      <c r="F536" s="4">
        <v>45962</v>
      </c>
      <c r="G536" s="6" t="s">
        <v>1101</v>
      </c>
      <c r="H536" s="4">
        <v>45964</v>
      </c>
    </row>
    <row r="537" spans="1:8" ht="15">
      <c r="A537" s="7">
        <v>536</v>
      </c>
      <c r="B537" s="2" t="s">
        <v>1105</v>
      </c>
      <c r="C537" s="3">
        <v>154000</v>
      </c>
      <c r="D537" s="3">
        <v>74000</v>
      </c>
      <c r="E537" s="9" t="s">
        <v>24</v>
      </c>
      <c r="F537" s="4">
        <v>45959</v>
      </c>
      <c r="G537" s="6" t="s">
        <v>1104</v>
      </c>
      <c r="H537" s="4">
        <v>45962</v>
      </c>
    </row>
    <row r="538" spans="1:8" ht="15">
      <c r="A538" s="7">
        <v>537</v>
      </c>
      <c r="B538" s="2" t="s">
        <v>59</v>
      </c>
      <c r="C538" s="3">
        <v>62000</v>
      </c>
      <c r="D538" s="3">
        <v>0</v>
      </c>
      <c r="E538" s="9" t="s">
        <v>1107</v>
      </c>
      <c r="F538" s="4">
        <v>45959</v>
      </c>
      <c r="G538" s="6" t="s">
        <v>1106</v>
      </c>
      <c r="H538" s="4">
        <v>45961</v>
      </c>
    </row>
    <row r="539" spans="1:8" ht="15">
      <c r="A539" s="7">
        <v>538</v>
      </c>
      <c r="B539" s="2" t="s">
        <v>1110</v>
      </c>
      <c r="C539" s="3">
        <v>145000</v>
      </c>
      <c r="D539" s="3">
        <v>75000</v>
      </c>
      <c r="E539" s="9" t="s">
        <v>1109</v>
      </c>
      <c r="F539" s="4">
        <v>45959</v>
      </c>
      <c r="G539" s="6" t="s">
        <v>1108</v>
      </c>
      <c r="H539" s="4">
        <v>45962</v>
      </c>
    </row>
    <row r="540" spans="1:8" ht="15">
      <c r="A540" s="7">
        <v>539</v>
      </c>
      <c r="B540" s="2" t="s">
        <v>280</v>
      </c>
      <c r="C540" s="3">
        <v>70000</v>
      </c>
      <c r="D540" s="3">
        <v>0</v>
      </c>
      <c r="E540" s="9" t="s">
        <v>157</v>
      </c>
      <c r="F540" s="4">
        <v>45958</v>
      </c>
      <c r="G540" s="6" t="s">
        <v>1111</v>
      </c>
      <c r="H540" s="4">
        <v>45961</v>
      </c>
    </row>
    <row r="541" spans="1:8" ht="15">
      <c r="A541" s="7">
        <v>540</v>
      </c>
      <c r="B541" s="2" t="s">
        <v>1114</v>
      </c>
      <c r="C541" s="3">
        <v>63000</v>
      </c>
      <c r="D541" s="3">
        <v>0</v>
      </c>
      <c r="E541" s="9" t="s">
        <v>1113</v>
      </c>
      <c r="F541" s="4">
        <v>45958</v>
      </c>
      <c r="G541" s="6" t="s">
        <v>1112</v>
      </c>
      <c r="H541" s="4">
        <v>45961</v>
      </c>
    </row>
    <row r="542" spans="1:8" ht="15">
      <c r="A542" s="7">
        <v>541</v>
      </c>
      <c r="B542" s="2" t="s">
        <v>47</v>
      </c>
      <c r="C542" s="3">
        <v>86000</v>
      </c>
      <c r="D542" s="3">
        <v>16000</v>
      </c>
      <c r="E542" s="9" t="s">
        <v>1014</v>
      </c>
      <c r="F542" s="4">
        <v>45968</v>
      </c>
      <c r="G542" s="6" t="s">
        <v>1115</v>
      </c>
      <c r="H542" s="4">
        <v>45970</v>
      </c>
    </row>
    <row r="543" spans="1:8" ht="15">
      <c r="A543" s="7">
        <v>542</v>
      </c>
      <c r="B543" s="2" t="s">
        <v>165</v>
      </c>
      <c r="C543" s="3">
        <v>70000</v>
      </c>
      <c r="D543" s="3">
        <v>0</v>
      </c>
      <c r="E543" s="9" t="s">
        <v>44</v>
      </c>
      <c r="F543" s="4">
        <v>45968</v>
      </c>
      <c r="G543" s="6" t="s">
        <v>1116</v>
      </c>
      <c r="H543" s="4">
        <v>45970</v>
      </c>
    </row>
    <row r="544" spans="1:8" ht="15">
      <c r="A544" s="7">
        <v>543</v>
      </c>
      <c r="B544" s="2" t="s">
        <v>165</v>
      </c>
      <c r="C544" s="3">
        <v>70000</v>
      </c>
      <c r="D544" s="3">
        <v>0</v>
      </c>
      <c r="E544" s="9" t="s">
        <v>174</v>
      </c>
      <c r="F544" s="4">
        <v>45968</v>
      </c>
      <c r="G544" s="6" t="s">
        <v>1117</v>
      </c>
      <c r="H544" s="4">
        <v>45970</v>
      </c>
    </row>
    <row r="545" spans="1:8" ht="15">
      <c r="A545" s="7">
        <v>544</v>
      </c>
      <c r="B545" s="2" t="s">
        <v>1119</v>
      </c>
      <c r="C545" s="3">
        <v>81999</v>
      </c>
      <c r="D545" s="3">
        <v>11999</v>
      </c>
      <c r="E545" s="9" t="s">
        <v>390</v>
      </c>
      <c r="F545" s="4">
        <v>45967</v>
      </c>
      <c r="G545" s="6" t="s">
        <v>1118</v>
      </c>
      <c r="H545" s="4">
        <v>45970</v>
      </c>
    </row>
    <row r="546" spans="1:8" ht="15">
      <c r="A546" s="7">
        <v>545</v>
      </c>
      <c r="B546" s="2" t="s">
        <v>1110</v>
      </c>
      <c r="C546" s="3">
        <v>84268</v>
      </c>
      <c r="D546" s="3">
        <v>14268</v>
      </c>
      <c r="E546" s="9" t="s">
        <v>967</v>
      </c>
      <c r="F546" s="4">
        <v>45967</v>
      </c>
      <c r="G546" s="6" t="s">
        <v>1120</v>
      </c>
      <c r="H546" s="4">
        <v>45970</v>
      </c>
    </row>
    <row r="547" spans="1:8" ht="15">
      <c r="A547" s="7">
        <v>546</v>
      </c>
      <c r="B547" s="2" t="s">
        <v>1122</v>
      </c>
      <c r="C547" s="3">
        <v>69000</v>
      </c>
      <c r="D547" s="3">
        <v>0</v>
      </c>
      <c r="E547" s="9" t="s">
        <v>879</v>
      </c>
      <c r="F547" s="4">
        <v>45965</v>
      </c>
      <c r="G547" s="6" t="s">
        <v>1121</v>
      </c>
      <c r="H547" s="4">
        <v>45967</v>
      </c>
    </row>
    <row r="548" spans="1:8" ht="15">
      <c r="A548" s="7">
        <v>547</v>
      </c>
      <c r="B548" s="2" t="s">
        <v>1105</v>
      </c>
      <c r="C548" s="3">
        <v>154000</v>
      </c>
      <c r="D548" s="3">
        <v>84000</v>
      </c>
      <c r="E548" s="9" t="s">
        <v>1009</v>
      </c>
      <c r="F548" s="4">
        <v>45965</v>
      </c>
      <c r="G548" s="6" t="s">
        <v>1123</v>
      </c>
      <c r="H548" s="4">
        <v>45967</v>
      </c>
    </row>
    <row r="549" spans="1:8" ht="15">
      <c r="A549" s="7">
        <v>548</v>
      </c>
      <c r="B549" s="2" t="s">
        <v>1105</v>
      </c>
      <c r="C549" s="3">
        <v>131500</v>
      </c>
      <c r="D549" s="3" t="s">
        <v>780</v>
      </c>
      <c r="E549" s="9" t="s">
        <v>1032</v>
      </c>
      <c r="F549" s="4">
        <v>45962</v>
      </c>
      <c r="G549" s="6" t="s">
        <v>1124</v>
      </c>
      <c r="H549" s="4">
        <v>45965</v>
      </c>
    </row>
    <row r="550" spans="1:8" ht="15">
      <c r="A550" s="7">
        <v>549</v>
      </c>
      <c r="B550" s="2" t="s">
        <v>1125</v>
      </c>
      <c r="C550" s="3">
        <v>115000</v>
      </c>
      <c r="D550" s="3">
        <v>45000</v>
      </c>
      <c r="E550" s="9" t="s">
        <v>52</v>
      </c>
      <c r="F550" s="4">
        <v>45966</v>
      </c>
      <c r="G550" s="6" t="s">
        <v>1126</v>
      </c>
      <c r="H550" s="4">
        <v>45967</v>
      </c>
    </row>
    <row r="551" spans="1:8" ht="15">
      <c r="A551" s="7">
        <v>550</v>
      </c>
      <c r="B551" s="2" t="s">
        <v>1128</v>
      </c>
      <c r="C551" s="3">
        <v>85000</v>
      </c>
      <c r="D551" s="3">
        <v>15000</v>
      </c>
      <c r="E551" s="9" t="s">
        <v>34</v>
      </c>
      <c r="F551" s="4">
        <v>45977</v>
      </c>
      <c r="G551" s="6" t="s">
        <v>1127</v>
      </c>
      <c r="H551" s="4">
        <v>45980</v>
      </c>
    </row>
    <row r="552" spans="1:8" ht="15">
      <c r="A552" s="7">
        <v>551</v>
      </c>
      <c r="B552" s="2" t="s">
        <v>1130</v>
      </c>
      <c r="C552" s="3">
        <v>70000</v>
      </c>
      <c r="D552" s="3">
        <v>0</v>
      </c>
      <c r="E552" s="9" t="s">
        <v>1129</v>
      </c>
      <c r="F552" s="4">
        <v>45974</v>
      </c>
      <c r="G552" s="6" t="s">
        <v>1131</v>
      </c>
      <c r="H552" s="4">
        <v>45977</v>
      </c>
    </row>
    <row r="553" spans="1:8" ht="15">
      <c r="A553" s="7">
        <v>552</v>
      </c>
      <c r="B553" s="2" t="s">
        <v>1133</v>
      </c>
      <c r="C553" s="3">
        <v>99000</v>
      </c>
      <c r="D553" s="3">
        <v>39000</v>
      </c>
      <c r="E553" s="9" t="s">
        <v>1134</v>
      </c>
      <c r="F553" s="4">
        <v>45971</v>
      </c>
      <c r="G553" s="6" t="s">
        <v>1132</v>
      </c>
      <c r="H553" s="4">
        <v>45974</v>
      </c>
    </row>
    <row r="554" spans="1:8" ht="15">
      <c r="A554" s="7">
        <v>553</v>
      </c>
      <c r="B554" s="2" t="s">
        <v>1136</v>
      </c>
      <c r="C554" s="3">
        <v>70500</v>
      </c>
      <c r="D554" s="3">
        <v>30500</v>
      </c>
      <c r="E554" s="9" t="s">
        <v>105</v>
      </c>
      <c r="F554" s="4">
        <v>45971</v>
      </c>
      <c r="G554" s="6" t="s">
        <v>1135</v>
      </c>
      <c r="H554" s="4">
        <v>45974</v>
      </c>
    </row>
    <row r="555" spans="1:8" ht="15">
      <c r="A555" s="7">
        <v>554</v>
      </c>
      <c r="B555" s="2" t="s">
        <v>1138</v>
      </c>
      <c r="C555" s="3">
        <v>1000</v>
      </c>
      <c r="D555" s="3">
        <v>40000</v>
      </c>
      <c r="E555" s="9" t="s">
        <v>1134</v>
      </c>
      <c r="F555" s="4">
        <v>45978</v>
      </c>
      <c r="G555" s="6" t="s">
        <v>1137</v>
      </c>
      <c r="H555" s="4">
        <v>45982</v>
      </c>
    </row>
    <row r="556" spans="1:8" ht="15">
      <c r="A556" s="7">
        <v>555</v>
      </c>
      <c r="B556" s="2" t="s">
        <v>1140</v>
      </c>
      <c r="C556" s="3">
        <v>110000</v>
      </c>
      <c r="D556" s="3">
        <v>40000</v>
      </c>
      <c r="E556" s="9" t="s">
        <v>1141</v>
      </c>
      <c r="F556" s="4">
        <v>45978</v>
      </c>
      <c r="G556" s="6" t="s">
        <v>1139</v>
      </c>
      <c r="H556" s="4">
        <v>45983</v>
      </c>
    </row>
    <row r="557" spans="1:8" ht="15">
      <c r="A557" s="7">
        <v>556</v>
      </c>
      <c r="B557" s="2" t="s">
        <v>114</v>
      </c>
      <c r="C557" s="3">
        <v>102200</v>
      </c>
      <c r="D557" s="3">
        <v>25046</v>
      </c>
      <c r="E557" s="9" t="s">
        <v>100</v>
      </c>
      <c r="F557" s="4">
        <v>45978</v>
      </c>
      <c r="G557" s="6" t="s">
        <v>1142</v>
      </c>
      <c r="H557" s="4">
        <v>45983</v>
      </c>
    </row>
    <row r="558" spans="1:8" ht="15">
      <c r="A558" s="7">
        <v>557</v>
      </c>
      <c r="B558" s="2" t="s">
        <v>1144</v>
      </c>
      <c r="C558" s="3">
        <v>80000</v>
      </c>
      <c r="D558" s="3">
        <v>10000</v>
      </c>
      <c r="E558" s="9" t="s">
        <v>1134</v>
      </c>
      <c r="F558" s="4">
        <v>45979</v>
      </c>
      <c r="G558" s="6" t="s">
        <v>1143</v>
      </c>
      <c r="H558" s="4">
        <v>45985</v>
      </c>
    </row>
    <row r="559" spans="1:8" ht="15">
      <c r="A559" s="7">
        <v>558</v>
      </c>
      <c r="B559" s="2" t="s">
        <v>245</v>
      </c>
      <c r="C559" s="3">
        <v>78000</v>
      </c>
      <c r="D559" s="3">
        <v>8000</v>
      </c>
      <c r="E559" s="9" t="s">
        <v>57</v>
      </c>
      <c r="F559" s="4">
        <v>45979</v>
      </c>
      <c r="G559" s="6" t="s">
        <v>1145</v>
      </c>
      <c r="H559" s="4">
        <v>45984</v>
      </c>
    </row>
    <row r="560" spans="1:8" ht="15">
      <c r="A560" s="7">
        <v>559</v>
      </c>
      <c r="B560" s="2" t="s">
        <v>1147</v>
      </c>
      <c r="C560" s="3">
        <v>89100</v>
      </c>
      <c r="D560" s="3">
        <v>19100</v>
      </c>
      <c r="E560" s="9" t="s">
        <v>1141</v>
      </c>
      <c r="F560" s="4">
        <v>45979</v>
      </c>
      <c r="G560" s="6" t="s">
        <v>1146</v>
      </c>
      <c r="H560" s="4">
        <v>45984</v>
      </c>
    </row>
    <row r="561" spans="1:8" ht="15">
      <c r="A561" s="7">
        <v>560</v>
      </c>
      <c r="B561" s="2" t="s">
        <v>1150</v>
      </c>
      <c r="C561" s="3">
        <v>57976</v>
      </c>
      <c r="D561" s="3">
        <v>0</v>
      </c>
      <c r="E561" s="9" t="s">
        <v>1149</v>
      </c>
      <c r="F561" s="4">
        <v>45981</v>
      </c>
      <c r="G561" s="6" t="s">
        <v>1148</v>
      </c>
      <c r="H561" s="4">
        <v>45986</v>
      </c>
    </row>
    <row r="562" spans="1:8" ht="15">
      <c r="A562" s="7">
        <v>561</v>
      </c>
      <c r="B562" s="2" t="s">
        <v>1152</v>
      </c>
      <c r="C562" s="3">
        <v>69000</v>
      </c>
      <c r="D562" s="3">
        <v>0</v>
      </c>
      <c r="E562" s="9" t="s">
        <v>906</v>
      </c>
      <c r="F562" s="4">
        <v>45982</v>
      </c>
      <c r="G562" s="6" t="s">
        <v>1151</v>
      </c>
      <c r="H562" s="4">
        <v>45986</v>
      </c>
    </row>
    <row r="563" spans="1:8" ht="15">
      <c r="A563" s="7">
        <v>562</v>
      </c>
      <c r="B563" s="2" t="s">
        <v>1154</v>
      </c>
      <c r="C563" s="3">
        <v>81500</v>
      </c>
      <c r="D563" s="3">
        <v>0</v>
      </c>
      <c r="E563" s="9" t="s">
        <v>112</v>
      </c>
      <c r="F563" s="4">
        <v>45982</v>
      </c>
      <c r="G563" s="6" t="s">
        <v>1153</v>
      </c>
      <c r="H563" s="4">
        <v>45986</v>
      </c>
    </row>
    <row r="564" spans="1:8" ht="15">
      <c r="A564" s="7">
        <v>563</v>
      </c>
      <c r="B564" s="2" t="s">
        <v>1156</v>
      </c>
      <c r="C564" s="3">
        <v>138749</v>
      </c>
      <c r="D564" s="3">
        <v>54749</v>
      </c>
      <c r="E564" s="9" t="s">
        <v>591</v>
      </c>
      <c r="F564" s="4">
        <v>45983</v>
      </c>
      <c r="G564" s="6" t="s">
        <v>1155</v>
      </c>
      <c r="H564" s="4">
        <v>45987</v>
      </c>
    </row>
    <row r="565" spans="1:8" ht="15">
      <c r="A565" s="7">
        <v>564</v>
      </c>
      <c r="B565" s="2" t="s">
        <v>1158</v>
      </c>
      <c r="C565" s="3">
        <v>129000</v>
      </c>
      <c r="D565" s="3">
        <v>45000</v>
      </c>
      <c r="E565" s="9" t="s">
        <v>795</v>
      </c>
      <c r="F565" s="4">
        <v>45985</v>
      </c>
      <c r="G565" s="6" t="s">
        <v>1157</v>
      </c>
      <c r="H565" s="4">
        <v>45987</v>
      </c>
    </row>
    <row r="566" spans="1:8" ht="15">
      <c r="A566" s="7">
        <v>565</v>
      </c>
      <c r="B566" s="2" t="s">
        <v>1160</v>
      </c>
      <c r="C566" s="3">
        <v>107000</v>
      </c>
      <c r="D566" s="3">
        <v>27000</v>
      </c>
      <c r="E566" s="9" t="s">
        <v>26</v>
      </c>
      <c r="F566" s="4">
        <v>45985</v>
      </c>
      <c r="G566" s="6" t="s">
        <v>1159</v>
      </c>
      <c r="H566" s="4">
        <v>45991</v>
      </c>
    </row>
    <row r="567" spans="1:8" ht="15">
      <c r="A567" s="7">
        <v>566</v>
      </c>
      <c r="B567" s="2" t="s">
        <v>1162</v>
      </c>
      <c r="C567" s="3">
        <v>75680</v>
      </c>
      <c r="D567" s="3">
        <v>0</v>
      </c>
      <c r="E567" s="9" t="s">
        <v>1163</v>
      </c>
      <c r="F567" s="4">
        <v>45985</v>
      </c>
      <c r="G567" s="6" t="s">
        <v>1161</v>
      </c>
      <c r="H567" s="4">
        <v>45990</v>
      </c>
    </row>
    <row r="568" spans="1:8" ht="15">
      <c r="A568" s="7">
        <v>567</v>
      </c>
      <c r="B568" s="2" t="s">
        <v>1165</v>
      </c>
      <c r="C568" s="3">
        <v>85000</v>
      </c>
      <c r="D568" s="3">
        <v>5000</v>
      </c>
      <c r="E568" s="9" t="s">
        <v>119</v>
      </c>
      <c r="F568" s="4">
        <v>45986</v>
      </c>
      <c r="G568" s="6" t="s">
        <v>1164</v>
      </c>
      <c r="H568" s="4">
        <v>45988</v>
      </c>
    </row>
    <row r="569" spans="1:8" ht="15">
      <c r="A569" s="7">
        <v>568</v>
      </c>
      <c r="B569" s="2" t="s">
        <v>1167</v>
      </c>
      <c r="C569" s="3">
        <v>89699</v>
      </c>
      <c r="D569" s="3">
        <v>19699</v>
      </c>
      <c r="E569" s="9" t="s">
        <v>933</v>
      </c>
      <c r="F569" s="4">
        <v>45988</v>
      </c>
      <c r="G569" s="6" t="s">
        <v>1166</v>
      </c>
      <c r="H569" s="4">
        <v>45990</v>
      </c>
    </row>
    <row r="570" spans="1:8" ht="15">
      <c r="A570" s="7">
        <v>569</v>
      </c>
      <c r="B570" s="2" t="s">
        <v>1169</v>
      </c>
      <c r="C570" s="3">
        <v>100000</v>
      </c>
      <c r="D570" s="3">
        <v>0</v>
      </c>
      <c r="E570" s="9" t="s">
        <v>591</v>
      </c>
      <c r="F570" s="4">
        <v>45988</v>
      </c>
      <c r="G570" s="6" t="s">
        <v>1168</v>
      </c>
      <c r="H570" s="4">
        <v>45990</v>
      </c>
    </row>
    <row r="571" spans="1:8" ht="15">
      <c r="A571" s="7">
        <v>570</v>
      </c>
      <c r="B571" s="2" t="s">
        <v>1171</v>
      </c>
      <c r="C571" s="3">
        <v>102000</v>
      </c>
      <c r="D571" s="3">
        <v>0</v>
      </c>
      <c r="E571" s="9" t="s">
        <v>36</v>
      </c>
      <c r="F571" s="4">
        <v>45988</v>
      </c>
      <c r="G571" s="6" t="s">
        <v>1170</v>
      </c>
      <c r="H571" s="4">
        <v>45990</v>
      </c>
    </row>
    <row r="572" spans="1:8" ht="15">
      <c r="A572" s="7">
        <v>571</v>
      </c>
      <c r="B572" s="2" t="s">
        <v>1173</v>
      </c>
      <c r="C572" s="3">
        <v>165170</v>
      </c>
      <c r="D572" s="3">
        <v>65170</v>
      </c>
      <c r="E572" s="9" t="s">
        <v>67</v>
      </c>
      <c r="F572" s="4">
        <v>45990</v>
      </c>
      <c r="G572" s="6" t="s">
        <v>1172</v>
      </c>
      <c r="H572" s="4">
        <v>45992</v>
      </c>
    </row>
    <row r="573" spans="1:8" ht="15">
      <c r="A573" s="7">
        <v>572</v>
      </c>
      <c r="B573" s="2" t="s">
        <v>1033</v>
      </c>
      <c r="C573" s="3">
        <v>81999</v>
      </c>
      <c r="D573" s="3">
        <v>1999</v>
      </c>
      <c r="E573" s="9" t="s">
        <v>122</v>
      </c>
      <c r="F573" s="4">
        <v>45993</v>
      </c>
      <c r="G573" s="6" t="s">
        <v>1174</v>
      </c>
      <c r="H573" s="4">
        <v>45996</v>
      </c>
    </row>
    <row r="574" spans="1:8" ht="15">
      <c r="A574" s="7">
        <v>573</v>
      </c>
      <c r="B574" s="2" t="s">
        <v>1177</v>
      </c>
      <c r="C574" s="3">
        <v>62999</v>
      </c>
      <c r="D574" s="3">
        <v>0</v>
      </c>
      <c r="E574" s="9" t="s">
        <v>1176</v>
      </c>
      <c r="F574" s="4">
        <v>45994</v>
      </c>
      <c r="G574" s="6" t="s">
        <v>1175</v>
      </c>
      <c r="H574" s="4">
        <v>45997</v>
      </c>
    </row>
    <row r="575" spans="1:8" ht="15">
      <c r="A575" s="7">
        <v>574</v>
      </c>
      <c r="B575" s="2" t="s">
        <v>1178</v>
      </c>
      <c r="C575" s="3">
        <v>71996</v>
      </c>
      <c r="D575" s="3">
        <v>0</v>
      </c>
      <c r="E575" s="9" t="s">
        <v>195</v>
      </c>
      <c r="F575" s="4">
        <v>45995</v>
      </c>
      <c r="G575" s="6" t="s">
        <v>1180</v>
      </c>
      <c r="H575" s="4">
        <v>45998</v>
      </c>
    </row>
    <row r="576" spans="1:8" ht="15">
      <c r="A576" s="7">
        <v>575</v>
      </c>
      <c r="B576" s="2" t="s">
        <v>47</v>
      </c>
      <c r="C576" s="3">
        <v>83000</v>
      </c>
      <c r="D576" s="3">
        <v>3000</v>
      </c>
      <c r="E576" s="9" t="s">
        <v>172</v>
      </c>
      <c r="F576" s="4">
        <v>45996</v>
      </c>
      <c r="G576" s="6" t="s">
        <v>1179</v>
      </c>
      <c r="H576" s="4">
        <v>45999</v>
      </c>
    </row>
    <row r="577" spans="1:8" ht="15">
      <c r="A577" s="7">
        <v>576</v>
      </c>
      <c r="B577" s="2" t="s">
        <v>58</v>
      </c>
      <c r="C577" s="3">
        <v>119800</v>
      </c>
      <c r="D577" s="3">
        <v>39800</v>
      </c>
      <c r="E577" s="9" t="s">
        <v>83</v>
      </c>
      <c r="F577" s="4">
        <v>45997</v>
      </c>
      <c r="G577" s="6" t="s">
        <v>1181</v>
      </c>
      <c r="H577" s="4">
        <v>46000</v>
      </c>
    </row>
    <row r="578" spans="1:8" ht="15">
      <c r="A578" s="7">
        <v>577</v>
      </c>
      <c r="B578" s="2" t="s">
        <v>103</v>
      </c>
      <c r="C578" s="3">
        <v>79000</v>
      </c>
      <c r="D578" s="3">
        <v>0</v>
      </c>
      <c r="E578" s="9" t="s">
        <v>70</v>
      </c>
      <c r="F578" s="4">
        <v>45998</v>
      </c>
      <c r="G578" s="6" t="s">
        <v>1182</v>
      </c>
      <c r="H578" s="4">
        <v>46003</v>
      </c>
    </row>
    <row r="579" spans="1:8" ht="15">
      <c r="A579" s="7">
        <v>578</v>
      </c>
      <c r="B579" s="2" t="s">
        <v>59</v>
      </c>
      <c r="C579" s="3">
        <v>62000</v>
      </c>
      <c r="D579" s="3">
        <v>0</v>
      </c>
      <c r="E579" s="9" t="s">
        <v>109</v>
      </c>
      <c r="F579" s="4">
        <v>45998</v>
      </c>
      <c r="G579" s="6" t="s">
        <v>1186</v>
      </c>
      <c r="H579" s="4">
        <v>46001</v>
      </c>
    </row>
    <row r="580" spans="1:8" ht="15">
      <c r="A580" s="7">
        <v>579</v>
      </c>
      <c r="B580" s="2" t="s">
        <v>938</v>
      </c>
      <c r="C580" s="3">
        <v>90000</v>
      </c>
      <c r="D580" s="3">
        <v>10000</v>
      </c>
      <c r="E580" s="9" t="s">
        <v>87</v>
      </c>
      <c r="F580" s="4">
        <v>45998</v>
      </c>
      <c r="G580" s="6" t="s">
        <v>1183</v>
      </c>
      <c r="H580" s="4">
        <v>46001</v>
      </c>
    </row>
    <row r="581" spans="1:8" ht="15">
      <c r="A581" s="7">
        <v>580</v>
      </c>
      <c r="B581" s="2" t="s">
        <v>938</v>
      </c>
      <c r="C581" s="3">
        <v>80850</v>
      </c>
      <c r="D581" s="3">
        <v>0</v>
      </c>
      <c r="E581" s="9" t="s">
        <v>86</v>
      </c>
      <c r="F581" s="4">
        <v>45998</v>
      </c>
      <c r="G581" s="6" t="s">
        <v>1184</v>
      </c>
      <c r="H581" s="4">
        <v>46001</v>
      </c>
    </row>
    <row r="582" spans="1:8" ht="15">
      <c r="A582" s="7">
        <v>581</v>
      </c>
      <c r="B582" s="2" t="s">
        <v>58</v>
      </c>
      <c r="C582" s="3">
        <v>119800</v>
      </c>
      <c r="D582" s="3">
        <v>39800</v>
      </c>
      <c r="E582" s="9" t="s">
        <v>101</v>
      </c>
      <c r="F582" s="4">
        <v>45999</v>
      </c>
      <c r="G582" s="6" t="s">
        <v>1185</v>
      </c>
      <c r="H582" s="4">
        <v>46002</v>
      </c>
    </row>
    <row r="583" spans="1:8" ht="15">
      <c r="A583" s="7">
        <v>582</v>
      </c>
      <c r="B583" s="2" t="s">
        <v>1187</v>
      </c>
      <c r="C583" s="3">
        <v>88580</v>
      </c>
      <c r="D583" s="3">
        <v>8580</v>
      </c>
      <c r="E583" s="9" t="s">
        <v>119</v>
      </c>
      <c r="F583" s="4">
        <v>46000</v>
      </c>
      <c r="G583" s="6" t="s">
        <v>1188</v>
      </c>
      <c r="H583" s="4">
        <v>46003</v>
      </c>
    </row>
    <row r="584" spans="1:8" ht="15">
      <c r="A584" s="7">
        <v>583</v>
      </c>
      <c r="B584" s="2" t="s">
        <v>1189</v>
      </c>
      <c r="C584" s="3">
        <v>73000</v>
      </c>
      <c r="D584" s="3">
        <v>0</v>
      </c>
      <c r="E584" s="9" t="s">
        <v>1019</v>
      </c>
      <c r="F584" s="4">
        <v>46000</v>
      </c>
      <c r="G584" s="6" t="s">
        <v>1190</v>
      </c>
      <c r="H584" s="4">
        <v>46003</v>
      </c>
    </row>
    <row r="585" spans="1:8" ht="15">
      <c r="A585" s="7">
        <v>584</v>
      </c>
      <c r="B585" s="2" t="s">
        <v>1192</v>
      </c>
      <c r="C585" s="3">
        <v>85500</v>
      </c>
      <c r="D585" s="3">
        <v>5500</v>
      </c>
      <c r="E585" s="9" t="s">
        <v>27</v>
      </c>
      <c r="F585" s="4">
        <v>46001</v>
      </c>
      <c r="G585" s="6" t="s">
        <v>1191</v>
      </c>
      <c r="H585" s="4">
        <v>46004</v>
      </c>
    </row>
    <row r="586" spans="1:8" ht="15">
      <c r="A586" s="7">
        <v>585</v>
      </c>
      <c r="B586" s="2" t="s">
        <v>47</v>
      </c>
      <c r="C586" s="3">
        <v>89970</v>
      </c>
      <c r="D586" s="3">
        <v>9970</v>
      </c>
      <c r="E586" s="9" t="s">
        <v>1194</v>
      </c>
      <c r="F586" s="4">
        <v>46002</v>
      </c>
      <c r="G586" s="6" t="s">
        <v>1193</v>
      </c>
      <c r="H586" s="4">
        <v>46005</v>
      </c>
    </row>
    <row r="587" spans="1:8" ht="15">
      <c r="A587" s="7">
        <v>586</v>
      </c>
      <c r="B587" s="2" t="s">
        <v>686</v>
      </c>
      <c r="C587" s="3">
        <v>100000</v>
      </c>
      <c r="D587" s="3">
        <v>20000</v>
      </c>
      <c r="E587" s="9" t="s">
        <v>1196</v>
      </c>
      <c r="F587" s="4">
        <v>46003</v>
      </c>
      <c r="G587" s="6" t="s">
        <v>1195</v>
      </c>
      <c r="H587" s="4">
        <v>46006</v>
      </c>
    </row>
    <row r="588" spans="1:8" ht="15">
      <c r="A588" s="7">
        <v>587</v>
      </c>
      <c r="B588" s="2" t="s">
        <v>107</v>
      </c>
      <c r="C588" s="3">
        <v>87241</v>
      </c>
      <c r="D588" s="3">
        <v>7241</v>
      </c>
      <c r="E588" s="9" t="s">
        <v>171</v>
      </c>
      <c r="F588" s="4">
        <v>46006</v>
      </c>
      <c r="G588" s="6" t="s">
        <v>1197</v>
      </c>
      <c r="H588" s="4">
        <v>46008</v>
      </c>
    </row>
    <row r="589" spans="1:8" ht="15">
      <c r="A589" s="7">
        <v>588</v>
      </c>
      <c r="B589" s="2" t="s">
        <v>1199</v>
      </c>
      <c r="C589" s="3">
        <v>102200</v>
      </c>
      <c r="D589" s="3">
        <v>6870</v>
      </c>
      <c r="E589" s="9" t="s">
        <v>148</v>
      </c>
      <c r="F589" s="4">
        <v>46006</v>
      </c>
      <c r="G589" s="6" t="s">
        <v>1198</v>
      </c>
      <c r="H589" s="4">
        <v>46009</v>
      </c>
    </row>
    <row r="590" spans="1:8" ht="15">
      <c r="A590" s="7">
        <v>589</v>
      </c>
      <c r="B590" s="2" t="s">
        <v>1201</v>
      </c>
      <c r="C590" s="3">
        <v>119880</v>
      </c>
      <c r="D590" s="3">
        <v>27892</v>
      </c>
      <c r="E590" s="9" t="s">
        <v>1202</v>
      </c>
      <c r="F590" s="4">
        <v>46006</v>
      </c>
      <c r="G590" s="6" t="s">
        <v>1200</v>
      </c>
      <c r="H590" s="4">
        <v>46009</v>
      </c>
    </row>
    <row r="591" spans="1:8" ht="15">
      <c r="A591" s="7">
        <v>590</v>
      </c>
      <c r="B591" s="2" t="s">
        <v>1204</v>
      </c>
      <c r="C591" s="3">
        <v>89250</v>
      </c>
      <c r="D591" s="3">
        <v>9250</v>
      </c>
      <c r="E591" s="9" t="s">
        <v>1205</v>
      </c>
      <c r="F591" s="4">
        <v>46006</v>
      </c>
      <c r="G591" s="6" t="s">
        <v>1203</v>
      </c>
      <c r="H591" s="4">
        <v>46009</v>
      </c>
    </row>
    <row r="592" spans="1:8" ht="15">
      <c r="A592" s="7">
        <v>591</v>
      </c>
      <c r="B592" s="2" t="s">
        <v>154</v>
      </c>
      <c r="C592" s="3">
        <v>119800</v>
      </c>
      <c r="D592" s="3">
        <v>39800</v>
      </c>
      <c r="E592" s="9" t="s">
        <v>1207</v>
      </c>
      <c r="F592" s="4">
        <v>46009</v>
      </c>
      <c r="G592" s="6" t="s">
        <v>1206</v>
      </c>
      <c r="H592" s="4">
        <v>46012</v>
      </c>
    </row>
    <row r="593" spans="1:8" ht="15">
      <c r="A593" s="7">
        <v>592</v>
      </c>
      <c r="B593" s="2" t="s">
        <v>140</v>
      </c>
      <c r="C593" s="3">
        <v>120000</v>
      </c>
      <c r="D593" s="3">
        <v>40000</v>
      </c>
      <c r="E593" s="9" t="s">
        <v>29</v>
      </c>
      <c r="F593" s="4">
        <v>46009</v>
      </c>
      <c r="G593" s="6" t="s">
        <v>1208</v>
      </c>
      <c r="H593" s="4">
        <v>46012</v>
      </c>
    </row>
    <row r="594" spans="1:8" ht="15">
      <c r="A594" s="7">
        <v>593</v>
      </c>
      <c r="B594" s="2" t="s">
        <v>107</v>
      </c>
      <c r="C594" s="3">
        <v>87000</v>
      </c>
      <c r="D594" s="3">
        <v>27000</v>
      </c>
      <c r="E594" s="9" t="s">
        <v>1065</v>
      </c>
      <c r="F594" s="4">
        <v>46011</v>
      </c>
      <c r="G594" s="6" t="s">
        <v>1209</v>
      </c>
      <c r="H594" s="4">
        <v>46014</v>
      </c>
    </row>
    <row r="595" spans="1:8" ht="15">
      <c r="A595" s="7">
        <v>594</v>
      </c>
      <c r="B595" s="2" t="s">
        <v>59</v>
      </c>
      <c r="C595" s="3">
        <v>66998</v>
      </c>
      <c r="D595" s="3">
        <v>6998</v>
      </c>
      <c r="E595" s="9" t="s">
        <v>29</v>
      </c>
      <c r="F595" s="4">
        <v>46014</v>
      </c>
      <c r="G595" s="6" t="s">
        <v>1210</v>
      </c>
      <c r="H595" s="4" t="s">
        <v>144</v>
      </c>
    </row>
    <row r="596" spans="1:8" ht="15">
      <c r="A596" s="7">
        <v>595</v>
      </c>
      <c r="B596" s="2" t="s">
        <v>1212</v>
      </c>
      <c r="C596" s="3">
        <v>59900</v>
      </c>
      <c r="D596" s="3">
        <v>0</v>
      </c>
      <c r="E596" s="9" t="s">
        <v>1019</v>
      </c>
      <c r="F596" s="4">
        <v>46014</v>
      </c>
      <c r="G596" s="6" t="s">
        <v>1211</v>
      </c>
      <c r="H596" s="4">
        <v>46016</v>
      </c>
    </row>
    <row r="597" spans="1:8" ht="15">
      <c r="A597" s="7">
        <v>596</v>
      </c>
      <c r="B597" s="2" t="s">
        <v>1214</v>
      </c>
      <c r="C597" s="3">
        <v>61365</v>
      </c>
      <c r="D597" s="3">
        <v>1365</v>
      </c>
      <c r="E597" s="9" t="s">
        <v>869</v>
      </c>
      <c r="F597" s="4">
        <v>46014</v>
      </c>
      <c r="G597" s="6" t="s">
        <v>1213</v>
      </c>
      <c r="H597" s="4" t="s">
        <v>144</v>
      </c>
    </row>
    <row r="598" spans="1:8" ht="15">
      <c r="A598" s="7">
        <v>597</v>
      </c>
      <c r="B598" s="2" t="s">
        <v>1216</v>
      </c>
      <c r="C598" s="3">
        <v>109000</v>
      </c>
      <c r="D598" s="3">
        <v>49000</v>
      </c>
      <c r="E598" s="9" t="s">
        <v>795</v>
      </c>
      <c r="F598" s="4">
        <v>46013</v>
      </c>
      <c r="G598" s="6" t="s">
        <v>1215</v>
      </c>
      <c r="H598" s="4">
        <v>46015</v>
      </c>
    </row>
    <row r="599" spans="1:8" ht="15">
      <c r="A599" s="7">
        <v>598</v>
      </c>
      <c r="B599" s="2" t="s">
        <v>1218</v>
      </c>
      <c r="C599" s="3">
        <v>62000</v>
      </c>
      <c r="D599" s="3">
        <v>2000</v>
      </c>
      <c r="E599" s="9" t="s">
        <v>72</v>
      </c>
      <c r="F599" s="4">
        <v>46013</v>
      </c>
      <c r="G599" s="6" t="s">
        <v>1217</v>
      </c>
      <c r="H599" s="4">
        <v>46015</v>
      </c>
    </row>
    <row r="600" spans="1:8" ht="15">
      <c r="A600" s="7">
        <v>599</v>
      </c>
      <c r="B600" s="2" t="s">
        <v>1220</v>
      </c>
      <c r="C600" s="3">
        <v>110000</v>
      </c>
      <c r="D600" s="3">
        <v>10000</v>
      </c>
      <c r="E600" s="9" t="s">
        <v>19</v>
      </c>
      <c r="F600" s="4">
        <v>46016</v>
      </c>
      <c r="G600" s="6" t="s">
        <v>1219</v>
      </c>
      <c r="H600" s="4">
        <v>46019</v>
      </c>
    </row>
    <row r="601" spans="1:8" ht="15">
      <c r="A601" s="7">
        <v>600</v>
      </c>
      <c r="B601" s="2" t="s">
        <v>1222</v>
      </c>
      <c r="C601" s="3">
        <v>69000</v>
      </c>
      <c r="D601" s="3">
        <v>0</v>
      </c>
      <c r="E601" s="9" t="s">
        <v>800</v>
      </c>
      <c r="F601" s="4">
        <v>46016</v>
      </c>
      <c r="G601" s="6" t="s">
        <v>1221</v>
      </c>
      <c r="H601" s="4"/>
    </row>
    <row r="602" spans="1:8" ht="15">
      <c r="A602" s="7">
        <v>601</v>
      </c>
      <c r="B602" s="2" t="s">
        <v>1224</v>
      </c>
      <c r="C602" s="3">
        <v>84800</v>
      </c>
      <c r="D602" s="3">
        <v>4800</v>
      </c>
      <c r="E602" s="9" t="s">
        <v>95</v>
      </c>
      <c r="F602" s="4">
        <v>46015</v>
      </c>
      <c r="G602" s="6" t="s">
        <v>1223</v>
      </c>
      <c r="H602" s="4">
        <v>46018</v>
      </c>
    </row>
    <row r="603" spans="1:8" ht="15">
      <c r="A603" s="7">
        <v>602</v>
      </c>
      <c r="B603" s="2" t="s">
        <v>107</v>
      </c>
      <c r="C603" s="3">
        <v>87000</v>
      </c>
      <c r="D603" s="3">
        <v>7000</v>
      </c>
      <c r="E603" s="9" t="s">
        <v>175</v>
      </c>
      <c r="F603" s="4">
        <v>46015</v>
      </c>
      <c r="G603" s="6" t="s">
        <v>1225</v>
      </c>
      <c r="H603" s="4">
        <v>46018</v>
      </c>
    </row>
    <row r="604" spans="1:8" ht="15">
      <c r="A604" s="7">
        <v>603</v>
      </c>
      <c r="B604" s="2" t="s">
        <v>1227</v>
      </c>
      <c r="C604" s="3">
        <v>98000</v>
      </c>
      <c r="D604" s="3">
        <v>0</v>
      </c>
      <c r="E604" s="9" t="s">
        <v>27</v>
      </c>
      <c r="F604" s="4">
        <v>46015</v>
      </c>
      <c r="G604" s="6" t="s">
        <v>1226</v>
      </c>
      <c r="H604" s="4">
        <v>46018</v>
      </c>
    </row>
    <row r="605" spans="1:8" ht="15">
      <c r="A605" s="7">
        <v>604</v>
      </c>
      <c r="B605" s="2" t="s">
        <v>1229</v>
      </c>
      <c r="C605" s="3">
        <v>70000</v>
      </c>
      <c r="D605" s="3">
        <v>0</v>
      </c>
      <c r="E605" s="9" t="s">
        <v>36</v>
      </c>
      <c r="F605" s="4">
        <v>46019</v>
      </c>
      <c r="G605" s="6" t="s">
        <v>1228</v>
      </c>
      <c r="H605" s="4"/>
    </row>
    <row r="606" spans="1:8" ht="15">
      <c r="A606" s="7">
        <v>605</v>
      </c>
      <c r="B606" s="2" t="s">
        <v>1231</v>
      </c>
      <c r="C606" s="3">
        <v>99000</v>
      </c>
      <c r="D606" s="3">
        <v>0</v>
      </c>
      <c r="E606" s="9" t="s">
        <v>1045</v>
      </c>
      <c r="F606" s="4">
        <v>46017</v>
      </c>
      <c r="G606" s="6" t="s">
        <v>1230</v>
      </c>
      <c r="H606" s="4">
        <v>46020</v>
      </c>
    </row>
    <row r="607" spans="1:8" ht="15">
      <c r="A607" s="7">
        <v>606</v>
      </c>
      <c r="B607" s="2" t="s">
        <v>1233</v>
      </c>
      <c r="C607" s="3">
        <v>70000</v>
      </c>
      <c r="D607" s="3">
        <v>0</v>
      </c>
      <c r="E607" s="9" t="s">
        <v>906</v>
      </c>
      <c r="F607" s="4">
        <v>46018</v>
      </c>
      <c r="G607" s="6" t="s">
        <v>1232</v>
      </c>
      <c r="H607" s="4"/>
    </row>
    <row r="608" spans="1:8" ht="15">
      <c r="A608" s="7">
        <v>607</v>
      </c>
      <c r="B608" s="2" t="s">
        <v>1103</v>
      </c>
      <c r="C608" s="3">
        <v>73636</v>
      </c>
      <c r="D608" s="3">
        <v>0</v>
      </c>
      <c r="E608" s="9" t="s">
        <v>1235</v>
      </c>
      <c r="F608" s="4">
        <v>46017</v>
      </c>
      <c r="G608" s="6" t="s">
        <v>1234</v>
      </c>
      <c r="H608" s="4">
        <v>46020</v>
      </c>
    </row>
    <row r="609" spans="1:8" ht="15">
      <c r="A609" s="7">
        <v>608</v>
      </c>
      <c r="B609" s="2" t="s">
        <v>1237</v>
      </c>
      <c r="C609" s="3">
        <v>66000</v>
      </c>
      <c r="D609" s="3">
        <v>6000</v>
      </c>
      <c r="E609" s="9" t="s">
        <v>29</v>
      </c>
      <c r="F609" s="4">
        <v>46017</v>
      </c>
      <c r="G609" s="6" t="s">
        <v>1236</v>
      </c>
      <c r="H609" s="4">
        <v>46020</v>
      </c>
    </row>
    <row r="610" spans="1:8" ht="15">
      <c r="A610" s="7">
        <v>609</v>
      </c>
      <c r="B610" s="2"/>
      <c r="C610" s="3"/>
      <c r="D610" s="3"/>
      <c r="E610" s="9"/>
      <c r="F610" s="4"/>
      <c r="G610" s="6"/>
      <c r="H610" s="4"/>
    </row>
    <row r="611" spans="1:8" ht="15">
      <c r="A611" s="7">
        <v>610</v>
      </c>
      <c r="B611" s="2"/>
      <c r="C611" s="3"/>
      <c r="D611" s="3"/>
      <c r="E611" s="9"/>
      <c r="F611" s="4"/>
      <c r="G611" s="6"/>
      <c r="H611" s="4"/>
    </row>
    <row r="612" spans="1:8" ht="15">
      <c r="A612" s="7">
        <v>611</v>
      </c>
      <c r="B612" s="2"/>
      <c r="C612" s="3"/>
      <c r="D612" s="3"/>
      <c r="E612" s="9"/>
      <c r="F612" s="4"/>
      <c r="G612" s="6"/>
      <c r="H612" s="4"/>
    </row>
    <row r="613" spans="1:8" ht="15">
      <c r="A613" s="7">
        <v>612</v>
      </c>
      <c r="B613" s="2"/>
      <c r="C613" s="3"/>
      <c r="D613" s="3"/>
      <c r="E613" s="9"/>
      <c r="F613" s="4"/>
      <c r="G613" s="6"/>
      <c r="H613" s="4"/>
    </row>
    <row r="614" spans="1:8" ht="15">
      <c r="A614" s="7">
        <v>613</v>
      </c>
      <c r="B614" s="2"/>
      <c r="C614" s="3"/>
      <c r="D614" s="3"/>
      <c r="E614" s="9"/>
      <c r="F614" s="4"/>
      <c r="G614" s="6"/>
      <c r="H614" s="4"/>
    </row>
    <row r="615" spans="1:8" ht="15">
      <c r="A615" s="7">
        <v>614</v>
      </c>
      <c r="B615" s="2"/>
      <c r="C615" s="3"/>
      <c r="D615" s="3"/>
      <c r="E615" s="9"/>
      <c r="F615" s="4"/>
      <c r="G615" s="6"/>
      <c r="H615" s="4"/>
    </row>
    <row r="616" spans="1:8" ht="15">
      <c r="A616" s="7">
        <v>615</v>
      </c>
      <c r="B616" s="2"/>
      <c r="C616" s="3"/>
      <c r="D616" s="3"/>
      <c r="E616" s="9"/>
      <c r="F616" s="4"/>
      <c r="G616" s="6"/>
      <c r="H616" s="4"/>
    </row>
    <row r="617" spans="1:8" ht="15">
      <c r="A617" s="7">
        <v>616</v>
      </c>
      <c r="B617" s="2"/>
      <c r="C617" s="3"/>
      <c r="D617" s="3"/>
      <c r="E617" s="9"/>
      <c r="F617" s="4"/>
      <c r="G617" s="6"/>
      <c r="H617" s="4"/>
    </row>
    <row r="618" spans="1:8" ht="15">
      <c r="A618" s="7">
        <v>617</v>
      </c>
      <c r="B618" s="2"/>
      <c r="C618" s="3"/>
      <c r="D618" s="3"/>
      <c r="E618" s="9"/>
      <c r="F618" s="4"/>
      <c r="G618" s="6"/>
      <c r="H618" s="4"/>
    </row>
    <row r="619" spans="1:8" ht="15">
      <c r="A619" s="7">
        <v>618</v>
      </c>
      <c r="B619" s="2"/>
      <c r="C619" s="3"/>
      <c r="D619" s="3"/>
      <c r="E619" s="9"/>
      <c r="F619" s="4"/>
      <c r="G619" s="6"/>
      <c r="H619" s="4"/>
    </row>
    <row r="620" spans="1:8" ht="15">
      <c r="A620" s="7">
        <v>619</v>
      </c>
      <c r="B620" s="2"/>
      <c r="C620" s="3"/>
      <c r="D620" s="3"/>
      <c r="E620" s="9"/>
      <c r="F620" s="4"/>
      <c r="G620" s="6"/>
      <c r="H620" s="4"/>
    </row>
    <row r="621" spans="1:8" ht="15">
      <c r="A621" s="7">
        <v>620</v>
      </c>
      <c r="B621" s="2"/>
      <c r="C621" s="3"/>
      <c r="D621" s="3"/>
      <c r="E621" s="9"/>
      <c r="F621" s="4"/>
      <c r="G621" s="6"/>
      <c r="H621" s="4"/>
    </row>
    <row r="622" spans="1:8" ht="15">
      <c r="A622" s="7">
        <v>621</v>
      </c>
      <c r="B622" s="2"/>
      <c r="C622" s="3"/>
      <c r="D622" s="3"/>
      <c r="E622" s="9"/>
      <c r="F622" s="4"/>
      <c r="G622" s="6"/>
      <c r="H622" s="4"/>
    </row>
    <row r="623" spans="1:8" ht="15">
      <c r="A623" s="7">
        <v>622</v>
      </c>
      <c r="B623" s="2"/>
      <c r="C623" s="3"/>
      <c r="D623" s="3"/>
      <c r="E623" s="9"/>
      <c r="F623" s="4"/>
      <c r="G623" s="6"/>
      <c r="H623" s="4"/>
    </row>
    <row r="624" spans="1:8" ht="15">
      <c r="A624" s="7">
        <v>623</v>
      </c>
      <c r="B624" s="2"/>
      <c r="C624" s="3"/>
      <c r="D624" s="3"/>
      <c r="E624" s="9"/>
      <c r="F624" s="4"/>
      <c r="G624" s="6"/>
      <c r="H624" s="4"/>
    </row>
    <row r="625" spans="1:8" ht="15">
      <c r="A625" s="7">
        <v>624</v>
      </c>
      <c r="B625" s="2"/>
      <c r="C625" s="3"/>
      <c r="D625" s="3"/>
      <c r="E625" s="9"/>
      <c r="F625" s="4"/>
      <c r="G625" s="6"/>
      <c r="H625" s="4"/>
    </row>
    <row r="626" spans="1:8" ht="15">
      <c r="A626" s="7">
        <v>625</v>
      </c>
      <c r="B626" s="2"/>
      <c r="C626" s="3"/>
      <c r="D626" s="3"/>
      <c r="E626" s="9"/>
      <c r="F626" s="4"/>
      <c r="G626" s="6"/>
      <c r="H626" s="4"/>
    </row>
    <row r="627" spans="1:8" ht="15">
      <c r="A627" s="7">
        <v>626</v>
      </c>
      <c r="B627" s="2"/>
      <c r="C627" s="3"/>
      <c r="D627" s="3"/>
      <c r="E627" s="9"/>
      <c r="F627" s="4"/>
      <c r="G627" s="6"/>
      <c r="H627" s="4"/>
    </row>
    <row r="628" spans="1:8" ht="15">
      <c r="A628" s="7">
        <v>627</v>
      </c>
      <c r="B628" s="2"/>
      <c r="C628" s="3"/>
      <c r="D628" s="3"/>
      <c r="E628" s="9"/>
      <c r="F628" s="4"/>
      <c r="G628" s="6"/>
      <c r="H628" s="4"/>
    </row>
    <row r="629" spans="1:8" ht="15">
      <c r="A629" s="7">
        <v>628</v>
      </c>
      <c r="B629" s="2"/>
      <c r="C629" s="3"/>
      <c r="D629" s="3"/>
      <c r="E629" s="9"/>
      <c r="F629" s="4"/>
      <c r="G629" s="6"/>
      <c r="H629" s="4"/>
    </row>
    <row r="630" spans="1:8" ht="15">
      <c r="A630" s="7">
        <v>629</v>
      </c>
      <c r="B630" s="2"/>
      <c r="C630" s="3"/>
      <c r="D630" s="3"/>
      <c r="E630" s="9"/>
      <c r="F630" s="4"/>
      <c r="G630" s="6"/>
      <c r="H630" s="4"/>
    </row>
    <row r="631" spans="1:8" ht="15">
      <c r="A631" s="7">
        <v>630</v>
      </c>
      <c r="B631" s="2"/>
      <c r="C631" s="3"/>
      <c r="D631" s="3"/>
      <c r="E631" s="9"/>
      <c r="F631" s="4"/>
      <c r="G631" s="6"/>
      <c r="H631" s="4"/>
    </row>
    <row r="632" spans="1:8" ht="15">
      <c r="A632" s="7">
        <v>631</v>
      </c>
      <c r="B632" s="2"/>
      <c r="C632" s="3"/>
      <c r="D632" s="3"/>
      <c r="E632" s="9"/>
      <c r="F632" s="4"/>
      <c r="G632" s="6"/>
      <c r="H632" s="4"/>
    </row>
    <row r="633" spans="1:8" ht="15">
      <c r="A633" s="7">
        <v>632</v>
      </c>
      <c r="B633" s="2"/>
      <c r="C633" s="3"/>
      <c r="D633" s="3"/>
      <c r="E633" s="9"/>
      <c r="F633" s="4"/>
      <c r="G633" s="6"/>
      <c r="H633" s="4"/>
    </row>
    <row r="634" spans="1:8" ht="15">
      <c r="A634" s="7">
        <v>633</v>
      </c>
      <c r="B634" s="2"/>
      <c r="C634" s="3"/>
      <c r="D634" s="3"/>
      <c r="E634" s="9"/>
      <c r="F634" s="4"/>
      <c r="G634" s="6"/>
      <c r="H634" s="4"/>
    </row>
    <row r="635" spans="1:8" ht="15">
      <c r="A635" s="7">
        <v>634</v>
      </c>
      <c r="B635" s="2"/>
      <c r="C635" s="3"/>
      <c r="D635" s="3"/>
      <c r="E635" s="9"/>
      <c r="F635" s="4"/>
      <c r="G635" s="6"/>
      <c r="H635" s="4"/>
    </row>
    <row r="636" spans="1:8" ht="15">
      <c r="A636" s="7">
        <v>635</v>
      </c>
      <c r="B636" s="2"/>
      <c r="C636" s="3"/>
      <c r="D636" s="3"/>
      <c r="E636" s="9"/>
      <c r="F636" s="4"/>
      <c r="G636" s="6"/>
      <c r="H636" s="4"/>
    </row>
    <row r="637" spans="1:8" ht="15">
      <c r="A637" s="7">
        <v>636</v>
      </c>
      <c r="B637" s="2"/>
      <c r="C637" s="3"/>
      <c r="D637" s="3"/>
      <c r="E637" s="9"/>
      <c r="F637" s="4"/>
      <c r="G637" s="6"/>
      <c r="H637" s="4"/>
    </row>
    <row r="638" spans="1:8" ht="15">
      <c r="A638" s="7">
        <v>637</v>
      </c>
      <c r="B638" s="2"/>
      <c r="C638" s="3"/>
      <c r="D638" s="3"/>
      <c r="E638" s="9"/>
      <c r="F638" s="4"/>
      <c r="G638" s="6"/>
      <c r="H638" s="4"/>
    </row>
    <row r="639" spans="1:8" ht="15">
      <c r="A639" s="7">
        <v>638</v>
      </c>
      <c r="B639" s="2"/>
      <c r="C639" s="3"/>
      <c r="D639" s="3"/>
      <c r="E639" s="9"/>
      <c r="F639" s="4"/>
      <c r="G639" s="6"/>
      <c r="H639" s="4"/>
    </row>
    <row r="640" spans="1:8" ht="15">
      <c r="A640" s="7">
        <v>639</v>
      </c>
      <c r="B640" s="2"/>
      <c r="C640" s="3"/>
      <c r="D640" s="3"/>
      <c r="E640" s="9"/>
      <c r="F640" s="4"/>
      <c r="G640" s="6"/>
      <c r="H640" s="4"/>
    </row>
    <row r="641" spans="1:8" ht="15">
      <c r="A641" s="7">
        <v>640</v>
      </c>
      <c r="B641" s="2"/>
      <c r="C641" s="3"/>
      <c r="D641" s="3"/>
      <c r="E641" s="9"/>
      <c r="F641" s="4"/>
      <c r="G641" s="6"/>
      <c r="H641" s="4"/>
    </row>
    <row r="642" spans="1:8" ht="15">
      <c r="A642" s="7">
        <v>641</v>
      </c>
      <c r="B642" s="2"/>
      <c r="C642" s="3"/>
      <c r="D642" s="3"/>
      <c r="E642" s="9"/>
      <c r="F642" s="4"/>
      <c r="G642" s="6"/>
      <c r="H642" s="4"/>
    </row>
    <row r="643" spans="1:8" ht="15">
      <c r="A643" s="7">
        <v>642</v>
      </c>
      <c r="B643" s="2"/>
      <c r="C643" s="3"/>
      <c r="D643" s="3"/>
      <c r="E643" s="9"/>
      <c r="F643" s="4"/>
      <c r="G643" s="6"/>
      <c r="H643" s="4"/>
    </row>
    <row r="644" spans="1:8" ht="16.5">
      <c r="A644" s="7"/>
      <c r="B644" s="2"/>
      <c r="C644" s="3"/>
      <c r="D644" s="3"/>
      <c r="E644" s="9"/>
      <c r="F644" s="4"/>
      <c r="G644" s="18"/>
      <c r="H644" s="4"/>
    </row>
    <row r="645" spans="1:8" ht="15">
      <c r="A645" s="7"/>
      <c r="B645" s="2"/>
      <c r="C645" s="3"/>
      <c r="D645" s="3"/>
      <c r="E645" s="9"/>
      <c r="F645" s="4"/>
      <c r="G645" s="6"/>
      <c r="H645" s="4"/>
    </row>
    <row r="646" spans="1:8" ht="15">
      <c r="A646" s="7"/>
      <c r="B646" s="2"/>
      <c r="C646" s="3"/>
      <c r="D646" s="3"/>
      <c r="E646" s="9"/>
      <c r="F646" s="4"/>
      <c r="G646" s="6"/>
      <c r="H646" s="4"/>
    </row>
    <row r="647" spans="1:8" ht="15">
      <c r="A647" s="7"/>
      <c r="B647" s="2"/>
      <c r="C647" s="3"/>
      <c r="D647" s="3"/>
      <c r="E647" s="9"/>
      <c r="F647" s="4"/>
      <c r="G647" s="6"/>
      <c r="H647" s="4"/>
    </row>
    <row r="648" spans="1:8" ht="15">
      <c r="A648" s="7"/>
      <c r="B648" s="2"/>
      <c r="C648" s="3"/>
      <c r="D648" s="3"/>
      <c r="E648" s="9"/>
      <c r="F648" s="4"/>
      <c r="G648" s="6"/>
      <c r="H648" s="4"/>
    </row>
    <row r="649" spans="1:8" ht="15">
      <c r="A649" s="7"/>
      <c r="B649" s="2"/>
      <c r="C649" s="3"/>
      <c r="D649" s="3"/>
      <c r="E649" s="9"/>
      <c r="F649" s="4"/>
      <c r="G649" s="6"/>
      <c r="H649" s="4"/>
    </row>
    <row r="650" spans="1:8" ht="15">
      <c r="A650" s="7"/>
      <c r="B650" s="2"/>
      <c r="C650" s="3"/>
      <c r="D650" s="3"/>
      <c r="E650" s="9"/>
      <c r="F650" s="4"/>
      <c r="G650" s="6"/>
      <c r="H650" s="4"/>
    </row>
    <row r="651" spans="1:8" ht="15">
      <c r="A651" s="7"/>
      <c r="B651" s="2"/>
      <c r="C651" s="3"/>
      <c r="D651" s="3"/>
      <c r="E651" s="9"/>
      <c r="F651" s="4"/>
      <c r="G651" s="6"/>
      <c r="H651" s="4"/>
    </row>
    <row r="652" spans="1:8" ht="15">
      <c r="A652" s="7"/>
      <c r="B652" s="2"/>
      <c r="C652" s="3"/>
      <c r="D652" s="3"/>
      <c r="E652" s="9"/>
      <c r="F652" s="4"/>
      <c r="G652" s="6"/>
      <c r="H652" s="4"/>
    </row>
    <row r="653" spans="1:8" ht="15">
      <c r="A653" s="7"/>
      <c r="B653" s="2"/>
      <c r="C653" s="3"/>
      <c r="D653" s="3"/>
      <c r="E653" s="9"/>
      <c r="F653" s="4"/>
      <c r="G653" s="6"/>
      <c r="H653" s="4"/>
    </row>
    <row r="654" spans="1:8" ht="15">
      <c r="A654" s="7"/>
      <c r="B654" s="2"/>
      <c r="C654" s="3"/>
      <c r="D654" s="3"/>
      <c r="E654" s="9"/>
      <c r="F654" s="4"/>
      <c r="G654" s="6"/>
      <c r="H654" s="4"/>
    </row>
    <row r="655" spans="1:8" ht="15">
      <c r="A655" s="7"/>
      <c r="B655" s="2"/>
      <c r="C655" s="3"/>
      <c r="D655" s="3"/>
      <c r="E655" s="9"/>
      <c r="F655" s="4"/>
      <c r="G655" s="6"/>
      <c r="H655" s="4"/>
    </row>
    <row r="656" spans="1:8" ht="15">
      <c r="A656" s="7"/>
      <c r="B656" s="2"/>
      <c r="C656" s="3"/>
      <c r="D656" s="3"/>
      <c r="E656" s="9"/>
      <c r="F656" s="4"/>
      <c r="G656" s="6"/>
      <c r="H656" s="4"/>
    </row>
    <row r="657" spans="1:8" ht="15">
      <c r="A657" s="7"/>
      <c r="B657" s="2"/>
      <c r="C657" s="3"/>
      <c r="D657" s="3"/>
      <c r="E657" s="9"/>
      <c r="F657" s="4"/>
      <c r="G657" s="6"/>
      <c r="H657" s="4"/>
    </row>
    <row r="658" spans="1:8" ht="15">
      <c r="A658" s="7"/>
      <c r="B658" s="2"/>
      <c r="C658" s="3"/>
      <c r="D658" s="3"/>
      <c r="E658" s="9"/>
      <c r="F658" s="4"/>
      <c r="G658" s="6"/>
      <c r="H658" s="4"/>
    </row>
    <row r="659" spans="1:8" ht="15">
      <c r="A659" s="7"/>
      <c r="B659" s="2"/>
      <c r="C659" s="3"/>
      <c r="D659" s="3"/>
      <c r="E659" s="9"/>
      <c r="F659" s="4"/>
      <c r="G659" s="6"/>
      <c r="H659" s="4"/>
    </row>
    <row r="660" spans="1:8" ht="15">
      <c r="A660" s="7"/>
      <c r="B660" s="2"/>
      <c r="C660" s="3"/>
      <c r="D660" s="3"/>
      <c r="E660" s="9"/>
      <c r="F660" s="4"/>
      <c r="G660" s="6"/>
      <c r="H660" s="4"/>
    </row>
    <row r="661" spans="1:8" ht="15">
      <c r="A661" s="7"/>
      <c r="B661" s="2"/>
      <c r="C661" s="3"/>
      <c r="D661" s="3"/>
      <c r="E661" s="9"/>
      <c r="F661" s="4"/>
      <c r="G661" s="6"/>
      <c r="H661" s="4"/>
    </row>
    <row r="662" spans="1:8" ht="15">
      <c r="A662" s="7"/>
      <c r="B662" s="2"/>
      <c r="C662" s="3"/>
      <c r="D662" s="3"/>
      <c r="E662" s="9"/>
      <c r="F662" s="4"/>
      <c r="G662" s="6"/>
      <c r="H662" s="4"/>
    </row>
    <row r="663" spans="1:8" ht="15">
      <c r="A663" s="7"/>
      <c r="B663" s="2"/>
      <c r="C663" s="3"/>
      <c r="D663" s="3"/>
      <c r="E663" s="9"/>
      <c r="F663" s="4"/>
      <c r="G663" s="6"/>
      <c r="H663" s="4"/>
    </row>
    <row r="664" spans="1:8" ht="15">
      <c r="A664" s="7"/>
      <c r="B664" s="2"/>
      <c r="C664" s="3"/>
      <c r="D664" s="3"/>
      <c r="E664" s="9"/>
      <c r="F664" s="4"/>
      <c r="G664" s="6"/>
      <c r="H664" s="4"/>
    </row>
    <row r="665" spans="1:8" ht="15">
      <c r="A665" s="7"/>
      <c r="B665" s="2"/>
      <c r="C665" s="3"/>
      <c r="D665" s="3"/>
      <c r="E665" s="9"/>
      <c r="F665" s="4"/>
      <c r="G665" s="6"/>
      <c r="H665" s="4"/>
    </row>
    <row r="666" spans="1:8" ht="15">
      <c r="A666" s="7"/>
      <c r="B666" s="2"/>
      <c r="C666" s="3"/>
      <c r="D666" s="3"/>
      <c r="E666" s="9"/>
      <c r="F666" s="4"/>
      <c r="G666" s="6"/>
      <c r="H666" s="4"/>
    </row>
    <row r="667" spans="1:8" ht="15">
      <c r="A667" s="7"/>
      <c r="B667" s="2"/>
      <c r="C667" s="3"/>
      <c r="D667" s="3"/>
      <c r="E667" s="9"/>
      <c r="F667" s="4"/>
      <c r="G667" s="6"/>
      <c r="H667" s="4"/>
    </row>
    <row r="668" spans="1:8" ht="15">
      <c r="A668" s="7"/>
      <c r="B668" s="2"/>
      <c r="C668" s="3"/>
      <c r="D668" s="3"/>
      <c r="E668" s="9"/>
      <c r="F668" s="4"/>
      <c r="G668" s="6"/>
      <c r="H668" s="4"/>
    </row>
    <row r="669" spans="1:8" ht="15">
      <c r="A669" s="7"/>
      <c r="B669" s="2"/>
      <c r="C669" s="3"/>
      <c r="D669" s="3"/>
      <c r="E669" s="9"/>
      <c r="F669" s="4"/>
      <c r="G669" s="6"/>
      <c r="H669" s="4"/>
    </row>
    <row r="670" spans="1:8" ht="15">
      <c r="A670" s="7"/>
      <c r="B670" s="2"/>
      <c r="C670" s="3"/>
      <c r="D670" s="3"/>
      <c r="E670" s="9"/>
      <c r="F670" s="4"/>
      <c r="G670" s="6"/>
      <c r="H670" s="4"/>
    </row>
    <row r="671" spans="1:8" ht="15">
      <c r="A671" s="7"/>
      <c r="B671" s="2"/>
      <c r="C671" s="3"/>
      <c r="D671" s="3"/>
      <c r="E671" s="9"/>
      <c r="F671" s="4"/>
      <c r="G671" s="6"/>
      <c r="H671" s="4"/>
    </row>
    <row r="672" spans="1:8" ht="15">
      <c r="A672" s="7"/>
      <c r="B672" s="2"/>
      <c r="C672" s="3"/>
      <c r="D672" s="3"/>
      <c r="E672" s="9"/>
      <c r="F672" s="4"/>
      <c r="G672" s="6"/>
      <c r="H672" s="4"/>
    </row>
    <row r="673" spans="1:8" ht="15">
      <c r="A673" s="7"/>
      <c r="B673" s="2"/>
      <c r="C673" s="3"/>
      <c r="D673" s="3"/>
      <c r="E673" s="9"/>
      <c r="F673" s="4"/>
      <c r="G673" s="6"/>
      <c r="H673" s="4"/>
    </row>
    <row r="674" spans="1:8" ht="15">
      <c r="A674" s="7"/>
      <c r="B674" s="2"/>
      <c r="C674" s="3"/>
      <c r="D674" s="3"/>
      <c r="E674" s="9"/>
      <c r="F674" s="4"/>
      <c r="G674" s="6"/>
      <c r="H674" s="4"/>
    </row>
    <row r="675" spans="1:8" ht="15">
      <c r="A675" s="7"/>
      <c r="B675" s="2"/>
      <c r="C675" s="3"/>
      <c r="D675" s="3"/>
      <c r="E675" s="9"/>
      <c r="F675" s="4"/>
      <c r="G675" s="6"/>
      <c r="H675" s="4"/>
    </row>
    <row r="676" spans="1:8" ht="15">
      <c r="A676" s="7"/>
      <c r="B676" s="2"/>
      <c r="C676" s="3"/>
      <c r="D676" s="3"/>
      <c r="E676" s="9"/>
      <c r="F676" s="4"/>
      <c r="G676" s="6"/>
      <c r="H676" s="4"/>
    </row>
  </sheetData>
  <autoFilter ref="A1:H643" xr:uid="{48F92DD7-7B94-4D3E-8326-A5C42E9AF94A}"/>
  <conditionalFormatting sqref="B530:E550">
    <cfRule type="expression" dxfId="15" priority="8">
      <formula>#REF!&lt;&gt;""</formula>
    </cfRule>
  </conditionalFormatting>
  <conditionalFormatting sqref="B644:F644 H644 B645:H676">
    <cfRule type="expression" dxfId="14" priority="3">
      <formula>#REF!&lt;&gt;""</formula>
    </cfRule>
  </conditionalFormatting>
  <conditionalFormatting sqref="B2:H527 B528:F528 B529:D529">
    <cfRule type="expression" dxfId="13" priority="9">
      <formula>#REF!&lt;&gt;""</formula>
    </cfRule>
  </conditionalFormatting>
  <conditionalFormatting sqref="B551:H643">
    <cfRule type="expression" dxfId="12" priority="1">
      <formula>#REF!&lt;&gt;""</formula>
    </cfRule>
  </conditionalFormatting>
  <conditionalFormatting sqref="F529:F550">
    <cfRule type="expression" dxfId="11" priority="6">
      <formula>#REF!&lt;&gt;""</formula>
    </cfRule>
  </conditionalFormatting>
  <conditionalFormatting sqref="G528:H550">
    <cfRule type="expression" dxfId="10" priority="5">
      <formula>#REF!&lt;&gt;""</formula>
    </cfRule>
  </conditionalFormatting>
  <conditionalFormatting sqref="I192:I194">
    <cfRule type="expression" dxfId="9" priority="39">
      <formula>#REF!&lt;&gt;""</formula>
    </cfRule>
  </conditionalFormatting>
  <conditionalFormatting sqref="I196">
    <cfRule type="expression" dxfId="8" priority="42">
      <formula>#REF!&lt;&gt;""</formula>
    </cfRule>
  </conditionalFormatting>
  <conditionalFormatting sqref="J157:J158">
    <cfRule type="expression" dxfId="7" priority="48">
      <formula>#REF!&lt;&gt;""</formula>
    </cfRule>
  </conditionalFormatting>
  <conditionalFormatting sqref="J353:J432">
    <cfRule type="expression" dxfId="6" priority="38">
      <formula>#REF!&lt;&gt;""</formula>
    </cfRule>
  </conditionalFormatting>
  <conditionalFormatting sqref="K353:K451">
    <cfRule type="expression" dxfId="5" priority="37">
      <formula>#REF!&lt;&gt;""</formula>
    </cfRule>
  </conditionalFormatting>
  <conditionalFormatting sqref="L353:M353">
    <cfRule type="expression" dxfId="4" priority="36">
      <formula>#REF!&lt;&gt;""</formula>
    </cfRule>
  </conditionalFormatting>
  <conditionalFormatting sqref="M354:M369">
    <cfRule type="expression" dxfId="3" priority="35">
      <formula>#REF!&lt;&gt;""</formula>
    </cfRule>
  </conditionalFormatting>
  <conditionalFormatting sqref="N353:O370">
    <cfRule type="expression" dxfId="2" priority="30">
      <formula>#REF!&lt;&gt;""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57B5-56F3-4FC0-BB67-EDCCD17536AD}">
  <dimension ref="A1:I136"/>
  <sheetViews>
    <sheetView workbookViewId="0">
      <pane ySplit="2" topLeftCell="A22" activePane="bottomLeft" state="frozen"/>
      <selection pane="bottomLeft" activeCell="E37" sqref="E37"/>
    </sheetView>
  </sheetViews>
  <sheetFormatPr defaultRowHeight="14.25"/>
  <cols>
    <col min="2" max="2" width="21.125" customWidth="1"/>
    <col min="3" max="3" width="10.625" bestFit="1" customWidth="1"/>
    <col min="4" max="4" width="10.625" customWidth="1"/>
    <col min="5" max="5" width="9.25" bestFit="1" customWidth="1"/>
    <col min="6" max="6" width="15" customWidth="1"/>
    <col min="7" max="7" width="16.125" customWidth="1"/>
    <col min="8" max="8" width="24" customWidth="1"/>
    <col min="9" max="9" width="15.625" customWidth="1"/>
  </cols>
  <sheetData>
    <row r="1" spans="1:9">
      <c r="A1" s="19" t="s">
        <v>0</v>
      </c>
      <c r="B1" s="19" t="s">
        <v>1</v>
      </c>
      <c r="C1" s="19" t="s">
        <v>2</v>
      </c>
      <c r="D1" s="21" t="s">
        <v>3</v>
      </c>
      <c r="E1" s="22"/>
      <c r="F1" s="19" t="s">
        <v>4</v>
      </c>
      <c r="G1" s="19" t="s">
        <v>5</v>
      </c>
      <c r="H1" s="19" t="s">
        <v>6</v>
      </c>
      <c r="I1" s="19" t="s">
        <v>7</v>
      </c>
    </row>
    <row r="2" spans="1:9" ht="15" customHeight="1">
      <c r="A2" s="20"/>
      <c r="B2" s="20"/>
      <c r="C2" s="20"/>
      <c r="D2" s="11" t="s">
        <v>525</v>
      </c>
      <c r="E2" s="11" t="s">
        <v>526</v>
      </c>
      <c r="F2" s="20"/>
      <c r="G2" s="20"/>
      <c r="H2" s="20"/>
      <c r="I2" s="20"/>
    </row>
    <row r="3" spans="1:9" ht="16.5">
      <c r="A3" s="7">
        <v>1</v>
      </c>
      <c r="B3" s="2" t="s">
        <v>156</v>
      </c>
      <c r="C3" s="3">
        <v>122000</v>
      </c>
      <c r="D3" s="3">
        <v>72000</v>
      </c>
      <c r="E3" s="3">
        <v>15000</v>
      </c>
      <c r="F3" s="9" t="s">
        <v>161</v>
      </c>
      <c r="G3" s="4">
        <v>45725</v>
      </c>
      <c r="H3" s="12" t="s">
        <v>527</v>
      </c>
      <c r="I3" s="4">
        <v>45729</v>
      </c>
    </row>
    <row r="4" spans="1:9" ht="16.5">
      <c r="A4" s="7">
        <v>2</v>
      </c>
      <c r="B4" s="2" t="s">
        <v>185</v>
      </c>
      <c r="C4" s="3">
        <v>126000</v>
      </c>
      <c r="D4" s="3">
        <v>66000</v>
      </c>
      <c r="E4" s="3">
        <v>18000</v>
      </c>
      <c r="F4" s="9" t="s">
        <v>398</v>
      </c>
      <c r="G4" s="4">
        <v>45725</v>
      </c>
      <c r="H4" s="12" t="s">
        <v>528</v>
      </c>
      <c r="I4" s="4">
        <v>45728</v>
      </c>
    </row>
    <row r="5" spans="1:9" ht="16.5">
      <c r="A5" s="7">
        <v>3</v>
      </c>
      <c r="B5" s="2" t="s">
        <v>177</v>
      </c>
      <c r="C5" s="3">
        <v>140000</v>
      </c>
      <c r="D5" s="3">
        <v>80000</v>
      </c>
      <c r="E5" s="3">
        <v>15000</v>
      </c>
      <c r="F5" s="9" t="s">
        <v>69</v>
      </c>
      <c r="G5" s="4">
        <v>45725</v>
      </c>
      <c r="H5" s="12" t="s">
        <v>529</v>
      </c>
      <c r="I5" s="4">
        <v>45729</v>
      </c>
    </row>
    <row r="6" spans="1:9" ht="16.5">
      <c r="A6" s="7">
        <v>4</v>
      </c>
      <c r="B6" s="2" t="s">
        <v>80</v>
      </c>
      <c r="C6" s="3">
        <v>53200</v>
      </c>
      <c r="D6" s="3">
        <v>3200</v>
      </c>
      <c r="E6" s="3">
        <v>18000</v>
      </c>
      <c r="F6" s="9" t="s">
        <v>63</v>
      </c>
      <c r="G6" s="4">
        <v>45730</v>
      </c>
      <c r="H6" s="13" t="s">
        <v>530</v>
      </c>
      <c r="I6" s="4">
        <v>45732</v>
      </c>
    </row>
    <row r="7" spans="1:9" ht="16.5">
      <c r="A7" s="7">
        <v>5</v>
      </c>
      <c r="B7" s="2" t="s">
        <v>190</v>
      </c>
      <c r="C7" s="3">
        <v>129000</v>
      </c>
      <c r="D7" s="3">
        <v>69000</v>
      </c>
      <c r="E7" s="3">
        <v>18000</v>
      </c>
      <c r="F7" s="9" t="s">
        <v>187</v>
      </c>
      <c r="G7" s="4">
        <v>45725</v>
      </c>
      <c r="H7" s="12" t="s">
        <v>531</v>
      </c>
      <c r="I7" s="4">
        <v>45728</v>
      </c>
    </row>
    <row r="8" spans="1:9" ht="16.5">
      <c r="A8" s="7">
        <v>6</v>
      </c>
      <c r="B8" s="2" t="s">
        <v>532</v>
      </c>
      <c r="C8" s="3">
        <v>140000</v>
      </c>
      <c r="D8" s="3">
        <v>90000</v>
      </c>
      <c r="E8" s="3">
        <v>15000</v>
      </c>
      <c r="F8" s="9" t="s">
        <v>160</v>
      </c>
      <c r="G8" s="4">
        <v>45726</v>
      </c>
      <c r="H8" s="13" t="s">
        <v>533</v>
      </c>
      <c r="I8" s="4">
        <v>45728</v>
      </c>
    </row>
    <row r="9" spans="1:9" ht="16.5">
      <c r="A9" s="7">
        <v>7</v>
      </c>
      <c r="B9" s="2" t="s">
        <v>80</v>
      </c>
      <c r="C9" s="3">
        <v>53200</v>
      </c>
      <c r="D9" s="3">
        <v>3200</v>
      </c>
      <c r="E9" s="3">
        <v>18000</v>
      </c>
      <c r="F9" s="9" t="s">
        <v>159</v>
      </c>
      <c r="G9" s="4">
        <v>45735</v>
      </c>
      <c r="H9" s="12" t="s">
        <v>534</v>
      </c>
      <c r="I9" s="4">
        <v>45737</v>
      </c>
    </row>
    <row r="10" spans="1:9" ht="16.5">
      <c r="A10" s="7">
        <v>8</v>
      </c>
      <c r="B10" s="2" t="s">
        <v>165</v>
      </c>
      <c r="C10" s="3">
        <v>65000</v>
      </c>
      <c r="D10" s="3">
        <v>15000</v>
      </c>
      <c r="E10" s="3">
        <v>19000</v>
      </c>
      <c r="F10" s="9" t="s">
        <v>535</v>
      </c>
      <c r="G10" s="4">
        <v>45731</v>
      </c>
      <c r="H10" s="13" t="s">
        <v>536</v>
      </c>
      <c r="I10" s="4">
        <v>45734</v>
      </c>
    </row>
    <row r="11" spans="1:9" ht="16.5">
      <c r="A11" s="7">
        <v>9</v>
      </c>
      <c r="B11" s="2" t="s">
        <v>192</v>
      </c>
      <c r="C11" s="3">
        <v>101745</v>
      </c>
      <c r="D11" s="3">
        <v>51745</v>
      </c>
      <c r="E11" s="3">
        <v>15000</v>
      </c>
      <c r="F11" s="9" t="s">
        <v>147</v>
      </c>
      <c r="G11" s="4">
        <v>45726</v>
      </c>
      <c r="H11" s="12" t="s">
        <v>537</v>
      </c>
      <c r="I11" s="4">
        <v>45728</v>
      </c>
    </row>
    <row r="12" spans="1:9" ht="15">
      <c r="A12" s="7">
        <v>10</v>
      </c>
      <c r="B12" s="2" t="s">
        <v>80</v>
      </c>
      <c r="C12" s="3">
        <v>53200</v>
      </c>
      <c r="D12" s="3">
        <v>3200</v>
      </c>
      <c r="E12" s="3">
        <v>20000</v>
      </c>
      <c r="F12" s="9" t="s">
        <v>85</v>
      </c>
      <c r="G12" s="4">
        <v>45735</v>
      </c>
      <c r="H12" s="14" t="s">
        <v>538</v>
      </c>
      <c r="I12" s="4">
        <v>45738</v>
      </c>
    </row>
    <row r="13" spans="1:9" ht="15">
      <c r="A13" s="7">
        <v>11</v>
      </c>
      <c r="B13" s="2" t="s">
        <v>539</v>
      </c>
      <c r="C13" s="3">
        <v>60000</v>
      </c>
      <c r="D13" s="3">
        <v>10000</v>
      </c>
      <c r="E13" s="3">
        <v>20000</v>
      </c>
      <c r="F13" s="9" t="s">
        <v>398</v>
      </c>
      <c r="G13" s="4">
        <v>45740</v>
      </c>
      <c r="H13" s="14" t="s">
        <v>540</v>
      </c>
      <c r="I13" s="4">
        <v>45742</v>
      </c>
    </row>
    <row r="14" spans="1:9" ht="15">
      <c r="A14" s="7">
        <v>12</v>
      </c>
      <c r="B14" s="2" t="s">
        <v>177</v>
      </c>
      <c r="C14" s="3">
        <v>128000</v>
      </c>
      <c r="D14" s="3">
        <v>68000</v>
      </c>
      <c r="E14" s="3">
        <v>20000</v>
      </c>
      <c r="F14" s="9" t="s">
        <v>95</v>
      </c>
      <c r="G14" s="4">
        <v>45743</v>
      </c>
      <c r="H14" s="14" t="s">
        <v>541</v>
      </c>
      <c r="I14" s="4">
        <v>45746</v>
      </c>
    </row>
    <row r="15" spans="1:9" ht="16.5">
      <c r="A15" s="7">
        <v>13</v>
      </c>
      <c r="B15" s="2" t="s">
        <v>80</v>
      </c>
      <c r="C15" s="3">
        <v>55900</v>
      </c>
      <c r="D15" s="3">
        <v>5900</v>
      </c>
      <c r="E15" s="3">
        <v>23000</v>
      </c>
      <c r="F15" s="9" t="s">
        <v>116</v>
      </c>
      <c r="G15" s="4">
        <v>45748</v>
      </c>
      <c r="H15" s="13" t="s">
        <v>559</v>
      </c>
      <c r="I15" s="4">
        <v>45751</v>
      </c>
    </row>
    <row r="16" spans="1:9" ht="16.5">
      <c r="A16" s="7">
        <v>14</v>
      </c>
      <c r="B16" s="2" t="s">
        <v>80</v>
      </c>
      <c r="C16" s="3">
        <v>61400</v>
      </c>
      <c r="D16" s="3">
        <v>400</v>
      </c>
      <c r="E16" s="3">
        <v>23000</v>
      </c>
      <c r="F16" s="9" t="s">
        <v>143</v>
      </c>
      <c r="G16" s="4">
        <v>45811</v>
      </c>
      <c r="H16" s="13" t="s">
        <v>703</v>
      </c>
      <c r="I16" s="4">
        <v>45814</v>
      </c>
    </row>
    <row r="17" spans="1:9" ht="16.5">
      <c r="A17" s="7">
        <v>15</v>
      </c>
      <c r="B17" s="2" t="s">
        <v>714</v>
      </c>
      <c r="C17" s="3">
        <v>69000</v>
      </c>
      <c r="D17" s="3">
        <v>9000</v>
      </c>
      <c r="E17" s="3">
        <v>23000</v>
      </c>
      <c r="F17" s="9" t="s">
        <v>85</v>
      </c>
      <c r="G17" s="4">
        <v>45816</v>
      </c>
      <c r="H17" s="13" t="s">
        <v>713</v>
      </c>
      <c r="I17" s="4">
        <v>45821</v>
      </c>
    </row>
    <row r="18" spans="1:9" ht="16.5">
      <c r="A18" s="7">
        <v>16</v>
      </c>
      <c r="B18" s="2" t="s">
        <v>47</v>
      </c>
      <c r="C18" s="3">
        <v>88100</v>
      </c>
      <c r="D18" s="3">
        <v>28100</v>
      </c>
      <c r="E18" s="3">
        <v>25000</v>
      </c>
      <c r="F18" s="9" t="s">
        <v>24</v>
      </c>
      <c r="G18" s="4">
        <v>45822</v>
      </c>
      <c r="H18" s="13" t="s">
        <v>752</v>
      </c>
      <c r="I18" s="4">
        <v>45824</v>
      </c>
    </row>
    <row r="19" spans="1:9" ht="16.5">
      <c r="A19" s="7">
        <v>17</v>
      </c>
      <c r="B19" s="2" t="s">
        <v>47</v>
      </c>
      <c r="C19" s="3">
        <v>82000</v>
      </c>
      <c r="D19" s="3">
        <v>22000</v>
      </c>
      <c r="E19" s="3">
        <v>25000</v>
      </c>
      <c r="F19" s="9" t="s">
        <v>62</v>
      </c>
      <c r="G19" s="4">
        <v>45821</v>
      </c>
      <c r="H19" s="13" t="s">
        <v>730</v>
      </c>
      <c r="I19" s="4">
        <v>45826</v>
      </c>
    </row>
    <row r="20" spans="1:9" ht="16.5">
      <c r="A20" s="7">
        <v>18</v>
      </c>
      <c r="B20" s="2" t="s">
        <v>47</v>
      </c>
      <c r="C20" s="3">
        <v>84900</v>
      </c>
      <c r="D20" s="3">
        <v>26200</v>
      </c>
      <c r="E20" s="3">
        <v>26000</v>
      </c>
      <c r="F20" s="9" t="s">
        <v>60</v>
      </c>
      <c r="G20" s="4">
        <v>45828</v>
      </c>
      <c r="H20" s="13" t="s">
        <v>751</v>
      </c>
      <c r="I20" s="4">
        <v>45833</v>
      </c>
    </row>
    <row r="21" spans="1:9" ht="15">
      <c r="A21" s="7">
        <v>19</v>
      </c>
      <c r="B21" s="2" t="s">
        <v>47</v>
      </c>
      <c r="C21" s="3">
        <v>89100</v>
      </c>
      <c r="D21" s="3">
        <v>29100</v>
      </c>
      <c r="E21" s="3">
        <v>26000</v>
      </c>
      <c r="F21" s="9" t="s">
        <v>171</v>
      </c>
      <c r="G21" s="4">
        <v>45832</v>
      </c>
      <c r="H21" s="6" t="s">
        <v>762</v>
      </c>
      <c r="I21" s="4" t="s">
        <v>10</v>
      </c>
    </row>
    <row r="22" spans="1:9" ht="16.5">
      <c r="A22" s="7">
        <v>20</v>
      </c>
      <c r="B22" s="2" t="s">
        <v>47</v>
      </c>
      <c r="C22" s="3">
        <v>86980</v>
      </c>
      <c r="D22" s="3">
        <v>28280</v>
      </c>
      <c r="E22" s="3">
        <v>26000</v>
      </c>
      <c r="F22" s="9" t="s">
        <v>159</v>
      </c>
      <c r="G22" s="4">
        <v>45831</v>
      </c>
      <c r="H22" s="13" t="s">
        <v>760</v>
      </c>
      <c r="I22" s="4">
        <v>45834</v>
      </c>
    </row>
    <row r="23" spans="1:9" ht="15">
      <c r="A23" s="7">
        <v>21</v>
      </c>
      <c r="B23" s="2" t="s">
        <v>80</v>
      </c>
      <c r="C23" s="3">
        <v>60000</v>
      </c>
      <c r="D23" s="3">
        <v>0</v>
      </c>
      <c r="E23" s="3">
        <v>25000</v>
      </c>
      <c r="F23" s="9" t="s">
        <v>83</v>
      </c>
      <c r="G23" s="4">
        <v>45902</v>
      </c>
      <c r="H23" s="6"/>
      <c r="I23" s="4">
        <v>45905</v>
      </c>
    </row>
    <row r="24" spans="1:9" ht="15">
      <c r="A24" s="7">
        <v>22</v>
      </c>
      <c r="B24" s="2" t="s">
        <v>80</v>
      </c>
      <c r="C24" s="3">
        <v>63300</v>
      </c>
      <c r="D24" s="3">
        <v>2300</v>
      </c>
      <c r="E24" s="3">
        <v>24000</v>
      </c>
      <c r="F24" s="9" t="s">
        <v>48</v>
      </c>
      <c r="G24" s="4">
        <v>45906</v>
      </c>
      <c r="H24" s="6"/>
      <c r="I24" s="4">
        <v>45911</v>
      </c>
    </row>
    <row r="25" spans="1:9" ht="15">
      <c r="A25" s="7">
        <v>23</v>
      </c>
      <c r="B25" s="2" t="s">
        <v>950</v>
      </c>
      <c r="C25" s="3">
        <v>85000</v>
      </c>
      <c r="D25" s="3">
        <v>25000</v>
      </c>
      <c r="E25" s="3">
        <v>24000</v>
      </c>
      <c r="F25" s="9" t="s">
        <v>148</v>
      </c>
      <c r="G25" s="4">
        <v>45906</v>
      </c>
      <c r="H25" s="6"/>
      <c r="I25" s="4">
        <v>45909</v>
      </c>
    </row>
    <row r="26" spans="1:9" ht="15">
      <c r="A26" s="7">
        <v>24</v>
      </c>
      <c r="B26" s="2" t="s">
        <v>80</v>
      </c>
      <c r="C26" s="3">
        <v>61000</v>
      </c>
      <c r="D26" s="3">
        <v>1000</v>
      </c>
      <c r="E26" s="3">
        <v>24000</v>
      </c>
      <c r="F26" s="9" t="s">
        <v>977</v>
      </c>
      <c r="G26" s="4">
        <v>45913</v>
      </c>
      <c r="H26" s="6"/>
      <c r="I26" s="4">
        <v>45917</v>
      </c>
    </row>
    <row r="27" spans="1:9" ht="15">
      <c r="A27" s="7">
        <v>25</v>
      </c>
      <c r="B27" s="2" t="s">
        <v>979</v>
      </c>
      <c r="C27" s="3">
        <v>63800</v>
      </c>
      <c r="D27" s="3">
        <v>3800</v>
      </c>
      <c r="E27" s="3">
        <v>250000</v>
      </c>
      <c r="F27" s="9" t="s">
        <v>139</v>
      </c>
      <c r="G27" s="4">
        <v>45919</v>
      </c>
      <c r="H27" s="6" t="s">
        <v>978</v>
      </c>
      <c r="I27" s="4">
        <v>45922</v>
      </c>
    </row>
    <row r="28" spans="1:9" ht="15">
      <c r="A28" s="7">
        <v>26</v>
      </c>
      <c r="B28" s="2" t="s">
        <v>714</v>
      </c>
      <c r="C28" s="3">
        <v>69000</v>
      </c>
      <c r="D28" s="3">
        <v>9000</v>
      </c>
      <c r="E28" s="3">
        <v>25000</v>
      </c>
      <c r="F28" s="9" t="s">
        <v>1019</v>
      </c>
      <c r="G28" s="4">
        <v>45934</v>
      </c>
      <c r="H28" s="6" t="s">
        <v>1034</v>
      </c>
      <c r="I28" s="4">
        <v>45937</v>
      </c>
    </row>
    <row r="29" spans="1:9" ht="15">
      <c r="A29" s="7">
        <v>27</v>
      </c>
      <c r="B29" s="2" t="s">
        <v>514</v>
      </c>
      <c r="C29" s="3">
        <v>57000</v>
      </c>
      <c r="D29" s="3">
        <v>0</v>
      </c>
      <c r="E29" s="3">
        <v>25000</v>
      </c>
      <c r="F29" s="9" t="s">
        <v>44</v>
      </c>
      <c r="G29" s="4">
        <v>45938</v>
      </c>
      <c r="H29" s="6" t="s">
        <v>1055</v>
      </c>
      <c r="I29" s="4">
        <v>45941</v>
      </c>
    </row>
    <row r="30" spans="1:9" ht="15">
      <c r="A30" s="7">
        <v>28</v>
      </c>
      <c r="B30" s="2" t="s">
        <v>1062</v>
      </c>
      <c r="C30" s="3">
        <v>154000</v>
      </c>
      <c r="D30" s="3">
        <v>84000</v>
      </c>
      <c r="E30" s="3">
        <v>25000</v>
      </c>
      <c r="F30" s="9" t="s">
        <v>1063</v>
      </c>
      <c r="G30" s="4">
        <v>45942</v>
      </c>
      <c r="H30" s="6" t="s">
        <v>1061</v>
      </c>
      <c r="I30" s="4">
        <v>45945</v>
      </c>
    </row>
    <row r="31" spans="1:9" ht="16.5">
      <c r="A31" s="7">
        <v>29</v>
      </c>
      <c r="B31" s="2" t="s">
        <v>1087</v>
      </c>
      <c r="C31" s="3">
        <v>70000</v>
      </c>
      <c r="D31" s="3">
        <v>0</v>
      </c>
      <c r="E31" s="3">
        <v>25000</v>
      </c>
      <c r="F31" s="9" t="s">
        <v>146</v>
      </c>
      <c r="G31" s="4">
        <v>45949</v>
      </c>
      <c r="H31" s="13" t="s">
        <v>1086</v>
      </c>
      <c r="I31" s="4">
        <v>45952</v>
      </c>
    </row>
    <row r="32" spans="1:9" ht="15">
      <c r="A32" s="7">
        <v>30</v>
      </c>
      <c r="B32" s="2"/>
      <c r="C32" s="3"/>
      <c r="D32" s="3"/>
      <c r="E32" s="3"/>
      <c r="F32" s="9"/>
      <c r="G32" s="4"/>
      <c r="H32" s="6"/>
      <c r="I32" s="4"/>
    </row>
    <row r="33" spans="1:9" ht="15">
      <c r="A33" s="7">
        <v>31</v>
      </c>
      <c r="B33" s="2"/>
      <c r="C33" s="3"/>
      <c r="D33" s="3"/>
      <c r="E33" s="3"/>
      <c r="F33" s="9"/>
      <c r="G33" s="4"/>
      <c r="H33" s="6"/>
      <c r="I33" s="4"/>
    </row>
    <row r="34" spans="1:9" ht="15">
      <c r="A34" s="7">
        <v>32</v>
      </c>
      <c r="B34" s="2"/>
      <c r="C34" s="3"/>
      <c r="D34" s="3"/>
      <c r="E34" s="3"/>
      <c r="F34" s="9"/>
      <c r="G34" s="4"/>
      <c r="H34" s="6"/>
      <c r="I34" s="4"/>
    </row>
    <row r="35" spans="1:9" ht="15">
      <c r="A35" s="7">
        <v>33</v>
      </c>
      <c r="B35" s="2"/>
      <c r="C35" s="3"/>
      <c r="D35" s="3"/>
      <c r="E35" s="3"/>
      <c r="F35" s="9"/>
      <c r="G35" s="4"/>
      <c r="H35" s="6"/>
      <c r="I35" s="4"/>
    </row>
    <row r="36" spans="1:9" ht="15">
      <c r="A36" s="7">
        <v>34</v>
      </c>
      <c r="B36" s="2"/>
      <c r="C36" s="3"/>
      <c r="D36" s="3"/>
      <c r="E36" s="3"/>
      <c r="F36" s="9"/>
      <c r="G36" s="4"/>
      <c r="H36" s="6"/>
      <c r="I36" s="4"/>
    </row>
    <row r="37" spans="1:9" ht="15">
      <c r="A37" s="7">
        <v>35</v>
      </c>
      <c r="B37" s="2"/>
      <c r="C37" s="3"/>
      <c r="D37" s="3"/>
      <c r="E37" s="3"/>
      <c r="F37" s="9"/>
      <c r="G37" s="4"/>
      <c r="H37" s="6"/>
      <c r="I37" s="4"/>
    </row>
    <row r="38" spans="1:9" ht="15">
      <c r="A38" s="7">
        <v>36</v>
      </c>
      <c r="B38" s="2"/>
      <c r="C38" s="3"/>
      <c r="D38" s="3"/>
      <c r="E38" s="3"/>
      <c r="F38" s="9"/>
      <c r="G38" s="4"/>
      <c r="H38" s="6"/>
      <c r="I38" s="4"/>
    </row>
    <row r="39" spans="1:9" ht="15">
      <c r="A39" s="7">
        <v>37</v>
      </c>
      <c r="B39" s="2"/>
      <c r="C39" s="3"/>
      <c r="D39" s="3"/>
      <c r="E39" s="3"/>
      <c r="F39" s="9"/>
      <c r="G39" s="4"/>
      <c r="H39" s="6"/>
      <c r="I39" s="4"/>
    </row>
    <row r="40" spans="1:9" ht="15">
      <c r="A40" s="7">
        <v>38</v>
      </c>
      <c r="B40" s="2"/>
      <c r="C40" s="3"/>
      <c r="D40" s="3"/>
      <c r="E40" s="3"/>
      <c r="F40" s="9"/>
      <c r="G40" s="4"/>
      <c r="H40" s="6"/>
      <c r="I40" s="4"/>
    </row>
    <row r="41" spans="1:9" ht="15">
      <c r="A41" s="7">
        <v>39</v>
      </c>
      <c r="B41" s="2"/>
      <c r="C41" s="3"/>
      <c r="D41" s="3"/>
      <c r="E41" s="3"/>
      <c r="F41" s="9"/>
      <c r="G41" s="4"/>
      <c r="H41" s="6"/>
      <c r="I41" s="4"/>
    </row>
    <row r="42" spans="1:9" ht="15">
      <c r="A42" s="7">
        <v>40</v>
      </c>
      <c r="B42" s="2"/>
      <c r="C42" s="3"/>
      <c r="D42" s="3"/>
      <c r="E42" s="3"/>
      <c r="F42" s="9"/>
      <c r="G42" s="4"/>
      <c r="H42" s="6"/>
      <c r="I42" s="4"/>
    </row>
    <row r="43" spans="1:9" ht="15">
      <c r="A43" s="7">
        <v>41</v>
      </c>
      <c r="B43" s="2"/>
      <c r="C43" s="3"/>
      <c r="D43" s="3"/>
      <c r="E43" s="3"/>
      <c r="F43" s="9"/>
      <c r="G43" s="4"/>
      <c r="H43" s="6"/>
      <c r="I43" s="4"/>
    </row>
    <row r="44" spans="1:9" ht="15">
      <c r="A44" s="7">
        <v>42</v>
      </c>
      <c r="B44" s="2"/>
      <c r="C44" s="3"/>
      <c r="D44" s="3"/>
      <c r="E44" s="3"/>
      <c r="F44" s="9"/>
      <c r="G44" s="4"/>
      <c r="H44" s="6"/>
      <c r="I44" s="4"/>
    </row>
    <row r="45" spans="1:9" ht="15">
      <c r="A45" s="7">
        <v>43</v>
      </c>
      <c r="B45" s="2"/>
      <c r="C45" s="3"/>
      <c r="D45" s="3"/>
      <c r="E45" s="3"/>
      <c r="F45" s="9"/>
      <c r="G45" s="4"/>
      <c r="H45" s="6"/>
      <c r="I45" s="4"/>
    </row>
    <row r="46" spans="1:9" ht="15">
      <c r="A46" s="7">
        <v>44</v>
      </c>
      <c r="B46" s="2"/>
      <c r="C46" s="3"/>
      <c r="D46" s="3"/>
      <c r="E46" s="3"/>
      <c r="F46" s="9"/>
      <c r="G46" s="4"/>
      <c r="H46" s="6"/>
      <c r="I46" s="4"/>
    </row>
    <row r="47" spans="1:9" ht="15">
      <c r="A47" s="7">
        <v>45</v>
      </c>
      <c r="B47" s="2"/>
      <c r="C47" s="3"/>
      <c r="D47" s="3"/>
      <c r="E47" s="3"/>
      <c r="F47" s="9"/>
      <c r="G47" s="4"/>
      <c r="H47" s="6"/>
      <c r="I47" s="4"/>
    </row>
    <row r="48" spans="1:9" ht="15">
      <c r="A48" s="7">
        <v>46</v>
      </c>
      <c r="B48" s="2"/>
      <c r="C48" s="3"/>
      <c r="D48" s="3"/>
      <c r="E48" s="3"/>
      <c r="F48" s="9"/>
      <c r="G48" s="4"/>
      <c r="H48" s="6"/>
      <c r="I48" s="4"/>
    </row>
    <row r="49" spans="1:9" ht="15">
      <c r="A49" s="7">
        <v>47</v>
      </c>
      <c r="B49" s="2"/>
      <c r="C49" s="3"/>
      <c r="D49" s="3"/>
      <c r="E49" s="3"/>
      <c r="F49" s="9"/>
      <c r="G49" s="4"/>
      <c r="H49" s="6"/>
      <c r="I49" s="4"/>
    </row>
    <row r="50" spans="1:9" ht="15">
      <c r="A50" s="7">
        <v>48</v>
      </c>
      <c r="B50" s="2"/>
      <c r="C50" s="3"/>
      <c r="D50" s="3"/>
      <c r="E50" s="3"/>
      <c r="F50" s="9"/>
      <c r="G50" s="4"/>
      <c r="H50" s="6"/>
      <c r="I50" s="4"/>
    </row>
    <row r="51" spans="1:9" ht="15">
      <c r="A51" s="7">
        <v>49</v>
      </c>
      <c r="B51" s="2"/>
      <c r="C51" s="3"/>
      <c r="D51" s="3"/>
      <c r="E51" s="3"/>
      <c r="F51" s="9"/>
      <c r="G51" s="4"/>
      <c r="H51" s="6"/>
      <c r="I51" s="4"/>
    </row>
    <row r="52" spans="1:9" ht="15">
      <c r="A52" s="7">
        <v>50</v>
      </c>
      <c r="B52" s="2"/>
      <c r="C52" s="3"/>
      <c r="D52" s="3"/>
      <c r="E52" s="3"/>
      <c r="F52" s="9"/>
      <c r="G52" s="4"/>
      <c r="H52" s="6"/>
      <c r="I52" s="4"/>
    </row>
    <row r="53" spans="1:9" ht="15">
      <c r="A53" s="7">
        <v>51</v>
      </c>
      <c r="B53" s="2"/>
      <c r="C53" s="3"/>
      <c r="D53" s="3"/>
      <c r="E53" s="3"/>
      <c r="F53" s="9"/>
      <c r="G53" s="4"/>
      <c r="H53" s="6"/>
      <c r="I53" s="4"/>
    </row>
    <row r="54" spans="1:9" ht="15">
      <c r="A54" s="7">
        <v>52</v>
      </c>
      <c r="B54" s="2"/>
      <c r="C54" s="3"/>
      <c r="D54" s="3"/>
      <c r="E54" s="3"/>
      <c r="F54" s="9"/>
      <c r="G54" s="4"/>
      <c r="H54" s="6"/>
      <c r="I54" s="4"/>
    </row>
    <row r="55" spans="1:9" ht="15">
      <c r="A55" s="7">
        <v>53</v>
      </c>
      <c r="B55" s="2"/>
      <c r="C55" s="3"/>
      <c r="D55" s="3"/>
      <c r="E55" s="3"/>
      <c r="F55" s="9"/>
      <c r="G55" s="4"/>
      <c r="H55" s="6"/>
      <c r="I55" s="4"/>
    </row>
    <row r="56" spans="1:9" ht="15">
      <c r="A56" s="7">
        <v>54</v>
      </c>
      <c r="B56" s="2"/>
      <c r="C56" s="3"/>
      <c r="D56" s="3"/>
      <c r="E56" s="3"/>
      <c r="F56" s="9"/>
      <c r="G56" s="4"/>
      <c r="H56" s="6"/>
      <c r="I56" s="4"/>
    </row>
    <row r="57" spans="1:9" ht="15">
      <c r="A57" s="7">
        <v>55</v>
      </c>
      <c r="B57" s="2"/>
      <c r="C57" s="3"/>
      <c r="D57" s="3"/>
      <c r="E57" s="3"/>
      <c r="F57" s="9"/>
      <c r="G57" s="4"/>
      <c r="H57" s="6"/>
      <c r="I57" s="4"/>
    </row>
    <row r="58" spans="1:9" ht="15">
      <c r="A58" s="7">
        <v>56</v>
      </c>
      <c r="B58" s="2"/>
      <c r="C58" s="3"/>
      <c r="D58" s="3"/>
      <c r="E58" s="3"/>
      <c r="F58" s="9"/>
      <c r="G58" s="4"/>
      <c r="H58" s="6"/>
      <c r="I58" s="4"/>
    </row>
    <row r="59" spans="1:9" ht="15">
      <c r="A59" s="7">
        <v>57</v>
      </c>
      <c r="B59" s="2"/>
      <c r="C59" s="3"/>
      <c r="D59" s="3"/>
      <c r="E59" s="3"/>
      <c r="F59" s="9"/>
      <c r="G59" s="4"/>
      <c r="H59" s="6"/>
      <c r="I59" s="4"/>
    </row>
    <row r="60" spans="1:9" ht="15">
      <c r="A60" s="7">
        <v>58</v>
      </c>
      <c r="B60" s="2"/>
      <c r="C60" s="3"/>
      <c r="D60" s="3"/>
      <c r="E60" s="3"/>
      <c r="F60" s="9"/>
      <c r="G60" s="4"/>
      <c r="H60" s="6"/>
      <c r="I60" s="4"/>
    </row>
    <row r="61" spans="1:9" ht="15">
      <c r="A61" s="7">
        <v>59</v>
      </c>
      <c r="C61" s="3"/>
      <c r="D61" s="3"/>
      <c r="E61" s="3"/>
      <c r="F61" s="9"/>
      <c r="G61" s="4"/>
      <c r="H61" s="6"/>
      <c r="I61" s="4"/>
    </row>
    <row r="62" spans="1:9" ht="15">
      <c r="A62" s="7">
        <v>60</v>
      </c>
      <c r="C62" s="3"/>
      <c r="D62" s="3"/>
      <c r="E62" s="3"/>
      <c r="F62" s="9"/>
      <c r="G62" s="4"/>
      <c r="H62" s="6"/>
      <c r="I62" s="4"/>
    </row>
    <row r="63" spans="1:9" ht="15">
      <c r="A63" s="7">
        <v>61</v>
      </c>
      <c r="C63" s="3"/>
      <c r="D63" s="3"/>
      <c r="E63" s="3"/>
      <c r="F63" s="9"/>
      <c r="G63" s="4"/>
      <c r="H63" s="6"/>
      <c r="I63" s="4"/>
    </row>
    <row r="64" spans="1:9" ht="15">
      <c r="A64" s="7">
        <v>62</v>
      </c>
      <c r="C64" s="3"/>
      <c r="D64" s="3"/>
      <c r="E64" s="3"/>
      <c r="F64" s="9"/>
      <c r="G64" s="4"/>
      <c r="H64" s="6"/>
      <c r="I64" s="4"/>
    </row>
    <row r="65" spans="1:9" ht="15">
      <c r="A65" s="7">
        <v>63</v>
      </c>
      <c r="C65" s="3"/>
      <c r="D65" s="3"/>
      <c r="E65" s="3"/>
      <c r="G65" s="4"/>
      <c r="H65" s="6"/>
      <c r="I65" s="4"/>
    </row>
    <row r="66" spans="1:9" ht="15">
      <c r="A66" s="7">
        <v>64</v>
      </c>
      <c r="G66" s="4"/>
      <c r="H66" s="6"/>
      <c r="I66" s="4"/>
    </row>
    <row r="67" spans="1:9" ht="15">
      <c r="A67" s="7">
        <v>65</v>
      </c>
      <c r="G67" s="4"/>
      <c r="H67" s="6"/>
      <c r="I67" s="4"/>
    </row>
    <row r="68" spans="1:9" ht="15">
      <c r="A68" s="7">
        <v>66</v>
      </c>
      <c r="H68" s="6"/>
      <c r="I68" s="4"/>
    </row>
    <row r="69" spans="1:9" ht="15">
      <c r="A69" s="7">
        <v>67</v>
      </c>
      <c r="H69" s="6"/>
      <c r="I69" s="4"/>
    </row>
    <row r="70" spans="1:9" ht="15">
      <c r="A70" s="7">
        <v>68</v>
      </c>
      <c r="H70" s="6"/>
    </row>
    <row r="71" spans="1:9" ht="15">
      <c r="A71" s="7">
        <v>69</v>
      </c>
      <c r="H71" s="6"/>
    </row>
    <row r="72" spans="1:9" ht="15">
      <c r="A72" s="7">
        <v>70</v>
      </c>
      <c r="H72" s="6"/>
    </row>
    <row r="73" spans="1:9" ht="15">
      <c r="A73" s="7">
        <v>71</v>
      </c>
      <c r="H73" s="6"/>
    </row>
    <row r="74" spans="1:9" ht="15">
      <c r="A74" s="7">
        <v>72</v>
      </c>
      <c r="H74" s="6"/>
    </row>
    <row r="75" spans="1:9" ht="15">
      <c r="A75" s="7">
        <v>73</v>
      </c>
      <c r="H75" s="6"/>
    </row>
    <row r="76" spans="1:9" ht="15">
      <c r="A76" s="7">
        <v>74</v>
      </c>
      <c r="H76" s="6"/>
    </row>
    <row r="77" spans="1:9" ht="15">
      <c r="A77" s="7">
        <v>75</v>
      </c>
    </row>
    <row r="78" spans="1:9" ht="15">
      <c r="A78" s="7">
        <v>76</v>
      </c>
    </row>
    <row r="79" spans="1:9" ht="15">
      <c r="A79" s="7">
        <v>77</v>
      </c>
    </row>
    <row r="80" spans="1:9" ht="15">
      <c r="A80" s="7">
        <v>78</v>
      </c>
    </row>
    <row r="81" spans="1:1" ht="15">
      <c r="A81" s="7">
        <v>79</v>
      </c>
    </row>
    <row r="82" spans="1:1" ht="15">
      <c r="A82" s="7">
        <v>80</v>
      </c>
    </row>
    <row r="83" spans="1:1" ht="15">
      <c r="A83" s="7">
        <v>81</v>
      </c>
    </row>
    <row r="84" spans="1:1" ht="15">
      <c r="A84" s="7">
        <v>82</v>
      </c>
    </row>
    <row r="85" spans="1:1" ht="15">
      <c r="A85" s="7">
        <v>83</v>
      </c>
    </row>
    <row r="86" spans="1:1" ht="15">
      <c r="A86" s="7">
        <v>84</v>
      </c>
    </row>
    <row r="87" spans="1:1" ht="15">
      <c r="A87" s="7">
        <v>85</v>
      </c>
    </row>
    <row r="88" spans="1:1" ht="15">
      <c r="A88" s="7">
        <v>86</v>
      </c>
    </row>
    <row r="89" spans="1:1" ht="15">
      <c r="A89" s="7">
        <v>87</v>
      </c>
    </row>
    <row r="90" spans="1:1" ht="15">
      <c r="A90" s="7">
        <v>88</v>
      </c>
    </row>
    <row r="91" spans="1:1" ht="15">
      <c r="A91" s="7">
        <v>89</v>
      </c>
    </row>
    <row r="92" spans="1:1" ht="15">
      <c r="A92" s="7">
        <v>90</v>
      </c>
    </row>
    <row r="93" spans="1:1" ht="15">
      <c r="A93" s="7">
        <v>91</v>
      </c>
    </row>
    <row r="94" spans="1:1" ht="15">
      <c r="A94" s="7">
        <v>92</v>
      </c>
    </row>
    <row r="95" spans="1:1" ht="15">
      <c r="A95" s="7">
        <v>93</v>
      </c>
    </row>
    <row r="96" spans="1:1" ht="15">
      <c r="A96" s="7">
        <v>94</v>
      </c>
    </row>
    <row r="97" spans="1:1" ht="15">
      <c r="A97" s="7">
        <v>95</v>
      </c>
    </row>
    <row r="98" spans="1:1" ht="15">
      <c r="A98" s="7">
        <v>96</v>
      </c>
    </row>
    <row r="99" spans="1:1" ht="15">
      <c r="A99" s="7">
        <v>97</v>
      </c>
    </row>
    <row r="100" spans="1:1" ht="15">
      <c r="A100" s="7">
        <v>98</v>
      </c>
    </row>
    <row r="101" spans="1:1" ht="15">
      <c r="A101" s="7">
        <v>99</v>
      </c>
    </row>
    <row r="102" spans="1:1" ht="15">
      <c r="A102" s="7">
        <v>100</v>
      </c>
    </row>
    <row r="103" spans="1:1" ht="15">
      <c r="A103" s="7">
        <v>101</v>
      </c>
    </row>
    <row r="104" spans="1:1" ht="15">
      <c r="A104" s="7">
        <v>102</v>
      </c>
    </row>
    <row r="105" spans="1:1" ht="15">
      <c r="A105" s="7">
        <v>103</v>
      </c>
    </row>
    <row r="106" spans="1:1" ht="15">
      <c r="A106" s="7">
        <v>104</v>
      </c>
    </row>
    <row r="107" spans="1:1" ht="15">
      <c r="A107" s="7">
        <v>105</v>
      </c>
    </row>
    <row r="108" spans="1:1" ht="15">
      <c r="A108" s="7">
        <v>106</v>
      </c>
    </row>
    <row r="109" spans="1:1" ht="15">
      <c r="A109" s="7">
        <v>107</v>
      </c>
    </row>
    <row r="110" spans="1:1" ht="15">
      <c r="A110" s="7">
        <v>108</v>
      </c>
    </row>
    <row r="111" spans="1:1" ht="15">
      <c r="A111" s="7">
        <v>109</v>
      </c>
    </row>
    <row r="112" spans="1:1" ht="15">
      <c r="A112" s="7">
        <v>110</v>
      </c>
    </row>
    <row r="113" spans="1:1" ht="15">
      <c r="A113" s="7">
        <v>111</v>
      </c>
    </row>
    <row r="114" spans="1:1" ht="15">
      <c r="A114" s="7">
        <v>112</v>
      </c>
    </row>
    <row r="115" spans="1:1" ht="15">
      <c r="A115" s="7">
        <v>113</v>
      </c>
    </row>
    <row r="116" spans="1:1" ht="15">
      <c r="A116" s="7">
        <v>114</v>
      </c>
    </row>
    <row r="117" spans="1:1" ht="15">
      <c r="A117" s="7">
        <v>115</v>
      </c>
    </row>
    <row r="118" spans="1:1" ht="15">
      <c r="A118" s="7">
        <v>116</v>
      </c>
    </row>
    <row r="119" spans="1:1" ht="15">
      <c r="A119" s="7">
        <v>117</v>
      </c>
    </row>
    <row r="120" spans="1:1" ht="15">
      <c r="A120" s="7">
        <v>118</v>
      </c>
    </row>
    <row r="121" spans="1:1" ht="15">
      <c r="A121" s="7">
        <v>119</v>
      </c>
    </row>
    <row r="122" spans="1:1" ht="15">
      <c r="A122" s="7">
        <v>120</v>
      </c>
    </row>
    <row r="123" spans="1:1" ht="15">
      <c r="A123" s="7">
        <v>121</v>
      </c>
    </row>
    <row r="124" spans="1:1" ht="15">
      <c r="A124" s="7">
        <v>122</v>
      </c>
    </row>
    <row r="125" spans="1:1" ht="15">
      <c r="A125" s="7">
        <v>123</v>
      </c>
    </row>
    <row r="126" spans="1:1" ht="15">
      <c r="A126" s="7">
        <v>124</v>
      </c>
    </row>
    <row r="127" spans="1:1" ht="15">
      <c r="A127" s="7">
        <v>125</v>
      </c>
    </row>
    <row r="128" spans="1:1" ht="15">
      <c r="A128" s="7">
        <v>126</v>
      </c>
    </row>
    <row r="129" spans="1:1" ht="15">
      <c r="A129" s="7">
        <v>127</v>
      </c>
    </row>
    <row r="130" spans="1:1" ht="15">
      <c r="A130" s="7">
        <v>128</v>
      </c>
    </row>
    <row r="131" spans="1:1" ht="15">
      <c r="A131" s="7">
        <v>129</v>
      </c>
    </row>
    <row r="132" spans="1:1" ht="15">
      <c r="A132" s="7">
        <v>130</v>
      </c>
    </row>
    <row r="133" spans="1:1" ht="15">
      <c r="A133" s="7">
        <v>131</v>
      </c>
    </row>
    <row r="134" spans="1:1" ht="15">
      <c r="A134" s="7">
        <v>132</v>
      </c>
    </row>
    <row r="135" spans="1:1" ht="15">
      <c r="A135" s="7">
        <v>133</v>
      </c>
    </row>
    <row r="136" spans="1:1" ht="15">
      <c r="A136" s="7">
        <v>134</v>
      </c>
    </row>
  </sheetData>
  <autoFilter ref="A1:I31" xr:uid="{0E9157B5-56F3-4FC0-BB67-EDCCD17536AD}">
    <filterColumn colId="3" showButton="0"/>
  </autoFilter>
  <mergeCells count="8">
    <mergeCell ref="H1:H2"/>
    <mergeCell ref="I1:I2"/>
    <mergeCell ref="D1:E1"/>
    <mergeCell ref="A1:A2"/>
    <mergeCell ref="B1:B2"/>
    <mergeCell ref="C1:C2"/>
    <mergeCell ref="F1:F2"/>
    <mergeCell ref="G1:G2"/>
  </mergeCells>
  <conditionalFormatting sqref="B27:H30 H32:H76">
    <cfRule type="expression" dxfId="1" priority="1">
      <formula>#REF!&lt;&gt;""</formula>
    </cfRule>
  </conditionalFormatting>
  <conditionalFormatting sqref="D2:E2 B3:G20 I3:I20 B21:I21 B22:G22 I22 B23:I26 I27:I69 B30:B60 F30:F64 C30:E65 G30:G67">
    <cfRule type="expression" dxfId="0" priority="2">
      <formula>#REF!&lt;&gt;""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2025 thuê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Phong Cao</dc:creator>
  <cp:keywords/>
  <dc:description/>
  <cp:lastModifiedBy>Phong Cao</cp:lastModifiedBy>
  <cp:revision/>
  <dcterms:created xsi:type="dcterms:W3CDTF">2023-12-14T11:56:57Z</dcterms:created>
  <dcterms:modified xsi:type="dcterms:W3CDTF">2025-12-30T14:33:46Z</dcterms:modified>
  <cp:category/>
  <cp:contentStatus/>
</cp:coreProperties>
</file>